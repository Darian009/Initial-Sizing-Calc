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1c452f17dad76ed/Git/Electric Aircraft Initial Sizing Calculator_MSExcel/"/>
    </mc:Choice>
  </mc:AlternateContent>
  <xr:revisionPtr revIDLastSave="45" documentId="8_{CBC481A0-ABF2-4259-9E0D-0DAB552887A1}" xr6:coauthVersionLast="47" xr6:coauthVersionMax="47" xr10:uidLastSave="{5E6FC20D-56FC-4C97-86B4-F0578BF756E9}"/>
  <bookViews>
    <workbookView xWindow="-108" yWindow="-108" windowWidth="23256" windowHeight="12456" xr2:uid="{A6E2C25B-408E-480E-AC39-A89790DE41EF}"/>
  </bookViews>
  <sheets>
    <sheet name="Sizing" sheetId="3" r:id="rId1"/>
    <sheet name="Weights" sheetId="9" r:id="rId2"/>
    <sheet name="Drag" sheetId="12" r:id="rId3"/>
    <sheet name="🚫" sheetId="6" r:id="rId4"/>
    <sheet name="⛔" sheetId="5" r:id="rId5"/>
  </sheets>
  <calcPr calcId="191028" iterate="1" iterateCount="500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9" i="9" l="1"/>
  <c r="B18" i="3"/>
  <c r="B19" i="3" s="1"/>
  <c r="B47" i="3"/>
  <c r="B36" i="12"/>
  <c r="B35" i="12"/>
  <c r="B24" i="12"/>
  <c r="B11" i="12"/>
  <c r="S13" i="9"/>
  <c r="S12" i="9"/>
  <c r="F18" i="3"/>
  <c r="O12" i="9"/>
  <c r="B53" i="12" l="1"/>
  <c r="B58" i="12"/>
  <c r="B46" i="12"/>
  <c r="J7" i="12" s="1"/>
  <c r="B15" i="12"/>
  <c r="I15" i="3" l="1"/>
  <c r="J71" i="9" l="1"/>
  <c r="P53" i="9" s="1"/>
  <c r="B46" i="9"/>
  <c r="B35" i="9" l="1"/>
  <c r="F78" i="9"/>
  <c r="F80" i="9" l="1"/>
  <c r="P55" i="9"/>
  <c r="J35" i="9"/>
  <c r="F49" i="9"/>
  <c r="B79" i="9"/>
  <c r="J72" i="9"/>
  <c r="B80" i="9" l="1"/>
  <c r="P54" i="9"/>
  <c r="F50" i="9"/>
  <c r="P40" i="9"/>
  <c r="B10" i="6"/>
  <c r="D34" i="3"/>
  <c r="D32" i="3"/>
  <c r="C33" i="3" s="1"/>
  <c r="D33" i="3" s="1"/>
  <c r="I32" i="3"/>
  <c r="J32" i="3" s="1"/>
  <c r="B16" i="3"/>
  <c r="F38" i="9"/>
  <c r="F35" i="3" l="1"/>
  <c r="O15" i="9"/>
  <c r="S14" i="9"/>
  <c r="F56" i="9"/>
  <c r="J18" i="5"/>
  <c r="O14" i="9"/>
  <c r="J21" i="5"/>
  <c r="W13" i="9"/>
  <c r="J59" i="9" s="1"/>
  <c r="J16" i="5"/>
  <c r="J49" i="9"/>
  <c r="J56" i="9"/>
  <c r="P44" i="9" s="1"/>
  <c r="F61" i="9"/>
  <c r="J15" i="5"/>
  <c r="J19" i="5"/>
  <c r="J17" i="5"/>
  <c r="F64" i="9"/>
  <c r="F66" i="9" s="1"/>
  <c r="J13" i="5"/>
  <c r="J12" i="5"/>
  <c r="B71" i="5"/>
  <c r="J11" i="5"/>
  <c r="B22" i="5"/>
  <c r="B98" i="9"/>
  <c r="B93" i="9"/>
  <c r="B99" i="9"/>
  <c r="B94" i="5"/>
  <c r="B36" i="5"/>
  <c r="B40" i="5"/>
  <c r="B45" i="5"/>
  <c r="B49" i="5"/>
  <c r="B58" i="5"/>
  <c r="B65" i="5"/>
  <c r="B69" i="5"/>
  <c r="B70" i="5"/>
  <c r="B93" i="5"/>
  <c r="B97" i="9"/>
  <c r="B96" i="9"/>
  <c r="B95" i="9"/>
  <c r="B94" i="9"/>
  <c r="B91" i="9"/>
  <c r="B88" i="9"/>
  <c r="B28" i="5"/>
  <c r="B86" i="9"/>
  <c r="B15" i="5"/>
  <c r="B8" i="9"/>
  <c r="B46" i="3"/>
  <c r="B62" i="3"/>
  <c r="B35" i="6"/>
  <c r="B25" i="6"/>
  <c r="B16" i="6"/>
  <c r="B11" i="6" s="1"/>
  <c r="J57" i="9" l="1"/>
  <c r="B47" i="9"/>
  <c r="B49" i="9"/>
  <c r="J50" i="9"/>
  <c r="P41" i="9"/>
  <c r="F67" i="9"/>
  <c r="P49" i="9"/>
  <c r="F57" i="9"/>
  <c r="P43" i="9"/>
  <c r="F62" i="9"/>
  <c r="P46" i="9"/>
  <c r="D50" i="3"/>
  <c r="S15" i="9"/>
  <c r="S4" i="9" s="1"/>
  <c r="S6" i="9" s="1"/>
  <c r="B51" i="3" s="1"/>
  <c r="D51" i="3" s="1"/>
  <c r="B35" i="3"/>
  <c r="G35" i="3" s="1"/>
  <c r="D31" i="3"/>
  <c r="C32" i="3" s="1"/>
  <c r="C35" i="3"/>
  <c r="D35" i="3" s="1"/>
  <c r="C36" i="3" s="1"/>
  <c r="C34" i="3"/>
  <c r="B59" i="3"/>
  <c r="D54" i="3"/>
  <c r="B58" i="3"/>
  <c r="B35" i="5"/>
  <c r="B24" i="5"/>
  <c r="C90" i="5"/>
  <c r="B90" i="5"/>
  <c r="L15" i="5" s="1"/>
  <c r="B25" i="5"/>
  <c r="B21" i="5"/>
  <c r="B46" i="5"/>
  <c r="C16" i="5"/>
  <c r="B16" i="5"/>
  <c r="C107" i="5"/>
  <c r="C87" i="5"/>
  <c r="C77" i="5"/>
  <c r="C50" i="5"/>
  <c r="C59" i="5" s="1"/>
  <c r="B12" i="5"/>
  <c r="C111" i="5"/>
  <c r="C121" i="5" s="1"/>
  <c r="B111" i="5"/>
  <c r="B121" i="5" s="1"/>
  <c r="B107" i="5"/>
  <c r="C95" i="5"/>
  <c r="C114" i="5" s="1"/>
  <c r="B86" i="5"/>
  <c r="C81" i="5"/>
  <c r="B77" i="5"/>
  <c r="B73" i="5"/>
  <c r="B67" i="5"/>
  <c r="B66" i="5"/>
  <c r="C61" i="5"/>
  <c r="C62" i="5"/>
  <c r="B62" i="5"/>
  <c r="B61" i="5"/>
  <c r="B54" i="5"/>
  <c r="B53" i="5"/>
  <c r="B52" i="5"/>
  <c r="C31" i="5"/>
  <c r="C29" i="5"/>
  <c r="C18" i="5"/>
  <c r="C6" i="5"/>
  <c r="C19" i="5" s="1"/>
  <c r="B6" i="5"/>
  <c r="B30" i="5" s="1"/>
  <c r="C17" i="5"/>
  <c r="B17" i="5"/>
  <c r="B84" i="6"/>
  <c r="B81" i="5" s="1"/>
  <c r="C124" i="5"/>
  <c r="C127" i="5" s="1"/>
  <c r="C120" i="5"/>
  <c r="B120" i="5"/>
  <c r="C119" i="5"/>
  <c r="B117" i="6"/>
  <c r="B119" i="5" s="1"/>
  <c r="C101" i="5"/>
  <c r="C98" i="5"/>
  <c r="C103" i="5" s="1"/>
  <c r="B98" i="5"/>
  <c r="B103" i="5" s="1"/>
  <c r="C97" i="5"/>
  <c r="C102" i="5" s="1"/>
  <c r="B97" i="5"/>
  <c r="B102" i="5" s="1"/>
  <c r="B95" i="5"/>
  <c r="B114" i="5" s="1"/>
  <c r="C86" i="5"/>
  <c r="C72" i="5"/>
  <c r="C76" i="5" s="1"/>
  <c r="B72" i="5"/>
  <c r="B76" i="5" s="1"/>
  <c r="B80" i="5" s="1"/>
  <c r="C55" i="5"/>
  <c r="B55" i="5"/>
  <c r="C51" i="5"/>
  <c r="C60" i="5" s="1"/>
  <c r="B51" i="5"/>
  <c r="C41" i="5"/>
  <c r="C44" i="5"/>
  <c r="C116" i="5" s="1"/>
  <c r="B44" i="5"/>
  <c r="B116" i="5" s="1"/>
  <c r="C43" i="5"/>
  <c r="B43" i="5"/>
  <c r="C35" i="5"/>
  <c r="C34" i="5"/>
  <c r="B34" i="5"/>
  <c r="C32" i="5"/>
  <c r="B32" i="5"/>
  <c r="C23" i="5"/>
  <c r="C24" i="5"/>
  <c r="C25" i="5"/>
  <c r="C20" i="5"/>
  <c r="C11" i="5"/>
  <c r="C12" i="5"/>
  <c r="C10" i="5"/>
  <c r="C36" i="5" s="1"/>
  <c r="C9" i="5"/>
  <c r="C8" i="5"/>
  <c r="C7" i="5"/>
  <c r="B7" i="5"/>
  <c r="B8" i="5"/>
  <c r="B10" i="5"/>
  <c r="B11" i="5"/>
  <c r="B20" i="5"/>
  <c r="I9" i="3"/>
  <c r="B7" i="12" s="1"/>
  <c r="A124" i="5"/>
  <c r="A127" i="5" s="1"/>
  <c r="A116" i="5"/>
  <c r="A114" i="5"/>
  <c r="A103" i="5"/>
  <c r="A102" i="5"/>
  <c r="B101" i="5"/>
  <c r="A101" i="5"/>
  <c r="A76" i="5"/>
  <c r="A80" i="5" s="1"/>
  <c r="A68" i="5"/>
  <c r="A60" i="5"/>
  <c r="A59" i="5"/>
  <c r="A42" i="5"/>
  <c r="A41" i="5"/>
  <c r="A36" i="5"/>
  <c r="A31" i="5"/>
  <c r="A30" i="5"/>
  <c r="A19" i="5"/>
  <c r="A18" i="5"/>
  <c r="A29" i="5"/>
  <c r="B50" i="9" l="1"/>
  <c r="P38" i="9"/>
  <c r="B115" i="5"/>
  <c r="B31" i="5"/>
  <c r="B33" i="5" s="1"/>
  <c r="L19" i="5"/>
  <c r="C68" i="5"/>
  <c r="L13" i="5"/>
  <c r="L21" i="5"/>
  <c r="B68" i="5"/>
  <c r="C30" i="5"/>
  <c r="C80" i="5"/>
  <c r="C108" i="5" s="1"/>
  <c r="C96" i="5"/>
  <c r="B55" i="6"/>
  <c r="B108" i="5"/>
  <c r="L18" i="5" s="1"/>
  <c r="L17" i="5"/>
  <c r="A96" i="5"/>
  <c r="B96" i="5"/>
  <c r="L16" i="5" s="1"/>
  <c r="B42" i="5"/>
  <c r="B19" i="5"/>
  <c r="L12" i="5"/>
  <c r="B60" i="5"/>
  <c r="D49" i="3"/>
  <c r="D48" i="3"/>
  <c r="J20" i="5" l="1"/>
  <c r="L20" i="5" s="1"/>
  <c r="L11" i="5"/>
  <c r="D41" i="3"/>
  <c r="D55" i="3"/>
  <c r="D58" i="3"/>
  <c r="B60" i="3"/>
  <c r="B54" i="3"/>
  <c r="B45" i="3"/>
  <c r="B50" i="3" s="1"/>
  <c r="B44" i="3"/>
  <c r="I34" i="3"/>
  <c r="I36" i="3"/>
  <c r="B36" i="3"/>
  <c r="M36" i="3" s="1"/>
  <c r="B31" i="3"/>
  <c r="M31" i="3" s="1"/>
  <c r="B15" i="9" l="1"/>
  <c r="B4" i="9"/>
  <c r="B20" i="12"/>
  <c r="B16" i="9"/>
  <c r="G31" i="3"/>
  <c r="G36" i="3"/>
  <c r="H36" i="3" s="1"/>
  <c r="B5" i="5"/>
  <c r="B41" i="5" s="1"/>
  <c r="B32" i="9"/>
  <c r="D60" i="3"/>
  <c r="B49" i="3"/>
  <c r="B48" i="3"/>
  <c r="J34" i="3"/>
  <c r="H31" i="3"/>
  <c r="B50" i="12" l="1"/>
  <c r="J12" i="12"/>
  <c r="B31" i="9"/>
  <c r="B23" i="12"/>
  <c r="F40" i="9"/>
  <c r="J40" i="9"/>
  <c r="P37" i="9" s="1"/>
  <c r="B50" i="5"/>
  <c r="J9" i="5" s="1"/>
  <c r="L9" i="5" s="1"/>
  <c r="B18" i="5"/>
  <c r="J6" i="5" s="1"/>
  <c r="L6" i="5" s="1"/>
  <c r="B124" i="5"/>
  <c r="J22" i="5" s="1"/>
  <c r="L22" i="5" s="1"/>
  <c r="B29" i="5"/>
  <c r="J7" i="5" s="1"/>
  <c r="L7" i="5" s="1"/>
  <c r="J8" i="5"/>
  <c r="L8" i="5" s="1"/>
  <c r="F71" i="9"/>
  <c r="B71" i="9"/>
  <c r="B87" i="5"/>
  <c r="J14" i="5" s="1"/>
  <c r="L14" i="5" s="1"/>
  <c r="B48" i="12" l="1"/>
  <c r="B55" i="12" s="1"/>
  <c r="B40" i="12"/>
  <c r="G7" i="12" s="1"/>
  <c r="B59" i="5"/>
  <c r="J10" i="5" s="1"/>
  <c r="L10" i="5" s="1"/>
  <c r="F24" i="9"/>
  <c r="B59" i="9"/>
  <c r="B61" i="9" s="1"/>
  <c r="F41" i="9"/>
  <c r="P36" i="9"/>
  <c r="B72" i="9"/>
  <c r="P51" i="9"/>
  <c r="F72" i="9"/>
  <c r="P52" i="9"/>
  <c r="B127" i="5"/>
  <c r="J23" i="5" s="1"/>
  <c r="L23" i="5" s="1"/>
  <c r="J41" i="9"/>
  <c r="D62" i="3"/>
  <c r="B49" i="12" l="1"/>
  <c r="B62" i="9"/>
  <c r="P45" i="9"/>
  <c r="B89" i="9"/>
  <c r="B87" i="9"/>
  <c r="H35" i="3"/>
  <c r="J35" i="3"/>
  <c r="G12" i="12" l="1"/>
  <c r="B34" i="9"/>
  <c r="J61" i="9" s="1"/>
  <c r="F33" i="3"/>
  <c r="J62" i="9" l="1"/>
  <c r="P47" i="9"/>
  <c r="J33" i="3"/>
  <c r="B9" i="5"/>
  <c r="J5" i="5" s="1"/>
  <c r="B12" i="9"/>
  <c r="B14" i="9" l="1"/>
  <c r="J15" i="9" s="1"/>
  <c r="B33" i="12" s="1"/>
  <c r="B52" i="12" s="1"/>
  <c r="B22" i="12"/>
  <c r="B63" i="12" s="1"/>
  <c r="J24" i="5"/>
  <c r="L5" i="5"/>
  <c r="L24" i="5" s="1"/>
  <c r="B64" i="9" l="1"/>
  <c r="B66" i="9" s="1"/>
  <c r="P48" i="9" s="1"/>
  <c r="B55" i="9"/>
  <c r="B19" i="9"/>
  <c r="B22" i="9" s="1"/>
  <c r="J64" i="9"/>
  <c r="J66" i="9" s="1"/>
  <c r="P50" i="9" s="1"/>
  <c r="B21" i="9"/>
  <c r="B18" i="12"/>
  <c r="J14" i="9"/>
  <c r="B31" i="12" s="1"/>
  <c r="J16" i="9"/>
  <c r="B20" i="9" l="1"/>
  <c r="B17" i="12" s="1"/>
  <c r="B19" i="12"/>
  <c r="B67" i="9"/>
  <c r="B18" i="9"/>
  <c r="J67" i="9"/>
  <c r="J19" i="9"/>
  <c r="J21" i="9"/>
  <c r="J28" i="9" l="1"/>
  <c r="P34" i="9" s="1"/>
  <c r="J22" i="9"/>
  <c r="B32" i="12" s="1"/>
  <c r="B21" i="12"/>
  <c r="B54" i="12" s="1"/>
  <c r="B38" i="12"/>
  <c r="F7" i="12" s="1"/>
  <c r="J18" i="9"/>
  <c r="J20" i="9"/>
  <c r="B30" i="12" s="1"/>
  <c r="B34" i="12" l="1"/>
  <c r="B57" i="12" s="1"/>
  <c r="J29" i="9"/>
  <c r="F12" i="12"/>
  <c r="B44" i="12"/>
  <c r="I7" i="12" s="1"/>
  <c r="B28" i="9"/>
  <c r="P32" i="9" s="1"/>
  <c r="B92" i="9"/>
  <c r="B40" i="9" s="1"/>
  <c r="I12" i="12" l="1"/>
  <c r="F15" i="9"/>
  <c r="B28" i="12" s="1"/>
  <c r="B51" i="12" s="1"/>
  <c r="P35" i="9"/>
  <c r="B41" i="9"/>
  <c r="B29" i="9"/>
  <c r="F14" i="9" l="1"/>
  <c r="B26" i="12" s="1"/>
  <c r="F16" i="9"/>
  <c r="B54" i="9" s="1"/>
  <c r="B56" i="9" s="1"/>
  <c r="F19" i="9" l="1"/>
  <c r="F22" i="9" s="1"/>
  <c r="B27" i="12" s="1"/>
  <c r="F21" i="9"/>
  <c r="B57" i="9"/>
  <c r="P42" i="9"/>
  <c r="F28" i="9"/>
  <c r="F29" i="9" s="1"/>
  <c r="F20" i="9" l="1"/>
  <c r="B25" i="12" s="1"/>
  <c r="B29" i="12" s="1"/>
  <c r="B56" i="12" s="1"/>
  <c r="F4" i="9"/>
  <c r="P33" i="9"/>
  <c r="F6" i="9" l="1"/>
  <c r="B64" i="3" s="1"/>
  <c r="B42" i="12"/>
  <c r="H7" i="12" s="1"/>
  <c r="H12" i="12" s="1"/>
  <c r="F16" i="12" s="1"/>
  <c r="B6" i="12" l="1"/>
  <c r="D64" i="3"/>
  <c r="H41" i="3"/>
  <c r="H45" i="3" s="1"/>
  <c r="B64" i="12"/>
  <c r="I12" i="3"/>
  <c r="B8" i="12"/>
  <c r="K33" i="3" l="1"/>
  <c r="K32" i="3"/>
  <c r="I14" i="3"/>
  <c r="F18" i="12"/>
  <c r="J45" i="3"/>
  <c r="N31" i="3"/>
  <c r="N36" i="3"/>
  <c r="B12" i="12" l="1"/>
  <c r="B41" i="12" s="1"/>
  <c r="G8" i="12" s="1"/>
  <c r="G13" i="12" s="1"/>
  <c r="F18" i="9"/>
  <c r="F19" i="12" l="1"/>
  <c r="B16" i="12"/>
  <c r="B39" i="12"/>
  <c r="F8" i="12" s="1"/>
  <c r="F13" i="12" s="1"/>
  <c r="B47" i="12"/>
  <c r="J8" i="12" s="1"/>
  <c r="J13" i="12" s="1"/>
  <c r="B45" i="12"/>
  <c r="I8" i="12" s="1"/>
  <c r="I13" i="12" s="1"/>
  <c r="B43" i="12"/>
  <c r="H8" i="12" s="1"/>
  <c r="H13" i="12" s="1"/>
  <c r="F17" i="12" l="1"/>
  <c r="I13" i="3" s="1"/>
  <c r="F21" i="12"/>
  <c r="L32" i="3" l="1"/>
  <c r="K35" i="3"/>
  <c r="M35" i="3" s="1"/>
  <c r="N35" i="3" s="1"/>
  <c r="K34" i="3"/>
  <c r="L34" i="3" s="1"/>
  <c r="F20" i="12"/>
  <c r="F22" i="12" l="1"/>
  <c r="E34" i="3"/>
  <c r="B34" i="3" s="1"/>
  <c r="G34" i="3" s="1"/>
  <c r="H34" i="3" s="1"/>
  <c r="M34" i="3"/>
  <c r="N34" i="3" s="1"/>
  <c r="M32" i="3"/>
  <c r="E32" i="3"/>
  <c r="B32" i="3" s="1"/>
  <c r="G32" i="3" s="1"/>
  <c r="G33" i="3" l="1"/>
  <c r="G37" i="3" s="1"/>
  <c r="H37" i="3" s="1"/>
  <c r="H32" i="3"/>
  <c r="N32" i="3"/>
  <c r="B33" i="3" l="1"/>
  <c r="B37" i="3" s="1"/>
  <c r="H33" i="3"/>
  <c r="M33" i="3" s="1"/>
  <c r="N33" i="3" l="1"/>
  <c r="N37" i="3" s="1"/>
  <c r="M37" i="3"/>
  <c r="H42" i="3" s="1"/>
  <c r="H43" i="3" l="1"/>
  <c r="H48" i="3"/>
  <c r="L48" i="3" s="1"/>
  <c r="J51" i="3" l="1"/>
  <c r="J52" i="3" s="1"/>
  <c r="J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Darian Patrick</author>
  </authors>
  <commentList>
    <comment ref="I30" authorId="0" shapeId="0" xr:uid="{3BB5106A-9D6E-4CB2-9D8B-A321766BE11B}">
      <text>
        <r>
          <rPr>
            <b/>
            <sz val="9"/>
            <color indexed="81"/>
            <rFont val="Tahoma"/>
            <family val="2"/>
          </rPr>
          <t>Darian Patrick:</t>
        </r>
        <r>
          <rPr>
            <sz val="9"/>
            <color indexed="81"/>
            <rFont val="Tahoma"/>
            <family val="2"/>
          </rPr>
          <t xml:space="preserve">
ISA Calculator
</t>
        </r>
      </text>
    </comment>
    <comment ref="K30" authorId="0" shapeId="0" xr:uid="{38DADC0A-0310-4589-9BD5-85C40FF0D309}">
      <text>
        <r>
          <rPr>
            <b/>
            <sz val="9"/>
            <color indexed="81"/>
            <rFont val="Tahoma"/>
            <family val="2"/>
          </rPr>
          <t>Darian Patrick:</t>
        </r>
        <r>
          <rPr>
            <sz val="9"/>
            <color indexed="81"/>
            <rFont val="Tahoma"/>
            <family val="2"/>
          </rPr>
          <t xml:space="preserve">
Raymer Eq6.13
</t>
        </r>
      </text>
    </comment>
    <comment ref="L30" authorId="0" shapeId="0" xr:uid="{44610A73-F690-4809-8E25-B8A07B08FB8E}">
      <text>
        <r>
          <rPr>
            <b/>
            <sz val="9"/>
            <color indexed="81"/>
            <rFont val="Tahoma"/>
            <family val="2"/>
          </rPr>
          <t>Darian Patrick:</t>
        </r>
        <r>
          <rPr>
            <sz val="9"/>
            <color indexed="81"/>
            <rFont val="Tahoma"/>
            <family val="2"/>
          </rPr>
          <t xml:space="preserve">
Raymer Eq20.5
</t>
        </r>
      </text>
    </comment>
    <comment ref="M30" authorId="0" shapeId="0" xr:uid="{C0D70BC2-2C8A-452D-86A9-CC6CC188CA5D}">
      <text>
        <r>
          <rPr>
            <b/>
            <sz val="9"/>
            <color indexed="81"/>
            <rFont val="Tahoma"/>
            <family val="2"/>
          </rPr>
          <t>Darian Patrick:</t>
        </r>
        <r>
          <rPr>
            <sz val="9"/>
            <color indexed="81"/>
            <rFont val="Tahoma"/>
            <family val="2"/>
          </rPr>
          <t xml:space="preserve">
Raymer Ch20 6th Ed
</t>
        </r>
      </text>
    </comment>
  </commentList>
</comments>
</file>

<file path=xl/sharedStrings.xml><?xml version="1.0" encoding="utf-8"?>
<sst xmlns="http://schemas.openxmlformats.org/spreadsheetml/2006/main" count="1069" uniqueCount="587">
  <si>
    <r>
      <rPr>
        <b/>
        <i/>
        <sz val="20"/>
        <color rgb="FFFFC000"/>
        <rFont val="Aptos Narrow"/>
        <family val="2"/>
        <scheme val="minor"/>
      </rPr>
      <t>⚡</t>
    </r>
    <r>
      <rPr>
        <b/>
        <i/>
        <sz val="20"/>
        <color theme="1"/>
        <rFont val="Aptos Narrow"/>
        <family val="2"/>
        <scheme val="minor"/>
      </rPr>
      <t>ELECTRIC SIZING CODE</t>
    </r>
    <r>
      <rPr>
        <b/>
        <i/>
        <sz val="20"/>
        <color rgb="FFFFC000"/>
        <rFont val="Aptos Narrow"/>
        <family val="2"/>
        <scheme val="minor"/>
      </rPr>
      <t>⚡</t>
    </r>
  </si>
  <si>
    <t>Based on Raymer Ch20 6th Ed</t>
  </si>
  <si>
    <t>Legend</t>
  </si>
  <si>
    <t>MAJOR SIZING VARIABLES</t>
  </si>
  <si>
    <t>USER INPUT</t>
  </si>
  <si>
    <t>ATR42-600/ESTIMATED</t>
  </si>
  <si>
    <r>
      <t>E</t>
    </r>
    <r>
      <rPr>
        <b/>
        <vertAlign val="subscript"/>
        <sz val="16"/>
        <color theme="1"/>
        <rFont val="Aptos Narrow"/>
        <family val="2"/>
        <scheme val="minor"/>
      </rPr>
      <t>sb</t>
    </r>
  </si>
  <si>
    <t>wh/kg</t>
  </si>
  <si>
    <t>🛫</t>
  </si>
  <si>
    <t>ALTITUDE</t>
  </si>
  <si>
    <t>FORMULA</t>
  </si>
  <si>
    <t>Assumption/From Parameters Sheet</t>
  </si>
  <si>
    <r>
      <t>AR</t>
    </r>
    <r>
      <rPr>
        <b/>
        <vertAlign val="subscript"/>
        <sz val="16"/>
        <color theme="1"/>
        <rFont val="Aptos Narrow"/>
        <family val="2"/>
        <scheme val="minor"/>
      </rPr>
      <t>W</t>
    </r>
  </si>
  <si>
    <t>#</t>
  </si>
  <si>
    <t>Cruise</t>
  </si>
  <si>
    <t>ft</t>
  </si>
  <si>
    <r>
      <t>W</t>
    </r>
    <r>
      <rPr>
        <b/>
        <vertAlign val="subscript"/>
        <sz val="16"/>
        <color theme="1"/>
        <rFont val="Aptos Narrow"/>
        <family val="2"/>
        <scheme val="minor"/>
      </rPr>
      <t>0</t>
    </r>
    <r>
      <rPr>
        <b/>
        <sz val="16"/>
        <color theme="1"/>
        <rFont val="Aptos Narrow"/>
        <family val="2"/>
        <scheme val="minor"/>
      </rPr>
      <t>/S</t>
    </r>
  </si>
  <si>
    <r>
      <t>lb/ft</t>
    </r>
    <r>
      <rPr>
        <b/>
        <vertAlign val="superscript"/>
        <sz val="16"/>
        <color theme="1"/>
        <rFont val="Aptos Narrow"/>
        <family val="2"/>
        <scheme val="minor"/>
      </rPr>
      <t>2</t>
    </r>
  </si>
  <si>
    <t>Loiter</t>
  </si>
  <si>
    <t>CONSTANTS</t>
  </si>
  <si>
    <r>
      <t>P/W</t>
    </r>
    <r>
      <rPr>
        <b/>
        <vertAlign val="subscript"/>
        <sz val="16"/>
        <color theme="1"/>
        <rFont val="Aptos Narrow"/>
        <family val="2"/>
        <scheme val="minor"/>
      </rPr>
      <t>0</t>
    </r>
  </si>
  <si>
    <t>kW/kg</t>
  </si>
  <si>
    <t>(g) Gravity</t>
  </si>
  <si>
    <r>
      <t>m/s</t>
    </r>
    <r>
      <rPr>
        <vertAlign val="superscript"/>
        <sz val="11"/>
        <color theme="1"/>
        <rFont val="Aptos Narrow"/>
        <family val="2"/>
        <scheme val="minor"/>
      </rPr>
      <t>2</t>
    </r>
  </si>
  <si>
    <t>VELOCITY</t>
  </si>
  <si>
    <t>PROPULSION</t>
  </si>
  <si>
    <t>kts</t>
  </si>
  <si>
    <t>AERODYNAMICS</t>
  </si>
  <si>
    <r>
      <t>(η</t>
    </r>
    <r>
      <rPr>
        <vertAlign val="subscript"/>
        <sz val="11"/>
        <color theme="1"/>
        <rFont val="Aptos Narrow"/>
        <family val="2"/>
        <scheme val="minor"/>
      </rPr>
      <t>b2s</t>
    </r>
    <r>
      <rPr>
        <sz val="11"/>
        <color theme="1"/>
        <rFont val="Aptos Narrow"/>
        <family val="2"/>
        <scheme val="minor"/>
      </rPr>
      <t>) System Efficiency</t>
    </r>
  </si>
  <si>
    <r>
      <t>C</t>
    </r>
    <r>
      <rPr>
        <vertAlign val="subscript"/>
        <sz val="11"/>
        <color theme="1"/>
        <rFont val="Aptos Narrow"/>
        <family val="2"/>
        <scheme val="minor"/>
      </rPr>
      <t>D0Cruise</t>
    </r>
  </si>
  <si>
    <r>
      <t>(η</t>
    </r>
    <r>
      <rPr>
        <vertAlign val="subscript"/>
        <sz val="11"/>
        <color theme="1"/>
        <rFont val="Aptos Narrow"/>
        <family val="2"/>
        <scheme val="minor"/>
      </rPr>
      <t>p</t>
    </r>
    <r>
      <rPr>
        <sz val="11"/>
        <color theme="1"/>
        <rFont val="Aptos Narrow"/>
        <family val="2"/>
        <scheme val="minor"/>
      </rPr>
      <t>) Propeller Efficiency</t>
    </r>
  </si>
  <si>
    <r>
      <t>C</t>
    </r>
    <r>
      <rPr>
        <vertAlign val="subscript"/>
        <sz val="11"/>
        <color theme="1"/>
        <rFont val="Aptos Narrow"/>
        <family val="2"/>
        <scheme val="minor"/>
      </rPr>
      <t>D0Take-Off</t>
    </r>
  </si>
  <si>
    <t>Motor Power</t>
  </si>
  <si>
    <t>kW</t>
  </si>
  <si>
    <t>SOULS ON BOARD (SOB)</t>
  </si>
  <si>
    <r>
      <t>C</t>
    </r>
    <r>
      <rPr>
        <vertAlign val="subscript"/>
        <sz val="11"/>
        <color theme="1"/>
        <rFont val="Aptos Narrow"/>
        <family val="2"/>
        <scheme val="minor"/>
      </rPr>
      <t>L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</si>
  <si>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en</t>
    </r>
    <r>
      <rPr>
        <sz val="11"/>
        <color theme="1"/>
        <rFont val="Aptos Narrow"/>
        <family val="2"/>
        <scheme val="minor"/>
      </rPr>
      <t>) # of Motors</t>
    </r>
  </si>
  <si>
    <t>Passenger</t>
  </si>
  <si>
    <t>(e) Oswald Efficiency</t>
  </si>
  <si>
    <t>Total Power Output</t>
  </si>
  <si>
    <t>Pilots</t>
  </si>
  <si>
    <t>Flight Attendants</t>
  </si>
  <si>
    <t>Power Required</t>
  </si>
  <si>
    <t>Total</t>
  </si>
  <si>
    <t>Total Motor Req</t>
  </si>
  <si>
    <t xml:space="preserve"> </t>
  </si>
  <si>
    <t>Mission Profile</t>
  </si>
  <si>
    <t>Duration [hrs]</t>
  </si>
  <si>
    <t>Altitude [ft]</t>
  </si>
  <si>
    <t>Battery</t>
  </si>
  <si>
    <t>Start</t>
  </si>
  <si>
    <t>End</t>
  </si>
  <si>
    <t>RoC [fpm]</t>
  </si>
  <si>
    <t>Velocity [kts]</t>
  </si>
  <si>
    <t>Nautical Miles (nmi)</t>
  </si>
  <si>
    <t>Kilometers (km)</t>
  </si>
  <si>
    <r>
      <t>Air Density [sl/ft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]</t>
    </r>
  </si>
  <si>
    <t>Dynamic Pressure (q)</t>
  </si>
  <si>
    <t>L/D Ratio</t>
  </si>
  <si>
    <t>Vertical Velocity [m/s]</t>
  </si>
  <si>
    <t>BMF</t>
  </si>
  <si>
    <t>Mass [kg]</t>
  </si>
  <si>
    <t>Taxi and Take off</t>
  </si>
  <si>
    <t>Climb</t>
  </si>
  <si>
    <t>Descend</t>
  </si>
  <si>
    <t>Land and Taxi</t>
  </si>
  <si>
    <t>MASS ESTIMATION</t>
  </si>
  <si>
    <t>Battery Mass Fraction (BMF)</t>
  </si>
  <si>
    <t>Goal Seek</t>
  </si>
  <si>
    <t>kg</t>
  </si>
  <si>
    <t>lbs</t>
  </si>
  <si>
    <t>BMF Available</t>
  </si>
  <si>
    <t>Set Cell</t>
  </si>
  <si>
    <t>H43</t>
  </si>
  <si>
    <t>BMF Calculated</t>
  </si>
  <si>
    <t>To</t>
  </si>
  <si>
    <t>Payload</t>
  </si>
  <si>
    <t>Difference</t>
  </si>
  <si>
    <t>By Changing Cell</t>
  </si>
  <si>
    <t>B41</t>
  </si>
  <si>
    <t>Mass/Person</t>
  </si>
  <si>
    <t>Baggage/Person</t>
  </si>
  <si>
    <t>Recalibrated Total Mass [kg]</t>
  </si>
  <si>
    <t>Passenger#</t>
  </si>
  <si>
    <t>Crew#</t>
  </si>
  <si>
    <t>Validation</t>
  </si>
  <si>
    <t>Total Passenger Mass</t>
  </si>
  <si>
    <t xml:space="preserve">Total Battery Mass </t>
  </si>
  <si>
    <t>Total Crew Mass</t>
  </si>
  <si>
    <t>Total Baggage Mass</t>
  </si>
  <si>
    <t>Total Payload Mass</t>
  </si>
  <si>
    <t>AR</t>
  </si>
  <si>
    <t>wH</t>
  </si>
  <si>
    <t>kWhr</t>
  </si>
  <si>
    <t>Equipment</t>
  </si>
  <si>
    <t>Avionics</t>
  </si>
  <si>
    <t>Others [REF: ATR42]</t>
  </si>
  <si>
    <t>Engine</t>
  </si>
  <si>
    <t>Engine Weight</t>
  </si>
  <si>
    <t>Engine#</t>
  </si>
  <si>
    <t xml:space="preserve">Total Engine Weight </t>
  </si>
  <si>
    <t>Strucutre Mass [REF: ATR42]</t>
  </si>
  <si>
    <t>Total Empty Mass</t>
  </si>
  <si>
    <t>Fudge Factor</t>
  </si>
  <si>
    <r>
      <rPr>
        <b/>
        <i/>
        <sz val="28"/>
        <color rgb="FFFF0000"/>
        <rFont val="Aptos Narrow"/>
        <family val="2"/>
        <scheme val="minor"/>
      </rPr>
      <t>⚖️</t>
    </r>
    <r>
      <rPr>
        <b/>
        <i/>
        <sz val="28"/>
        <color theme="1"/>
        <rFont val="Aptos Narrow"/>
        <family val="2"/>
        <scheme val="minor"/>
      </rPr>
      <t xml:space="preserve"> WEIGHTS </t>
    </r>
    <r>
      <rPr>
        <b/>
        <i/>
        <sz val="28"/>
        <color rgb="FFFF0000"/>
        <rFont val="Aptos Narrow"/>
        <family val="2"/>
        <scheme val="minor"/>
      </rPr>
      <t>⚖️</t>
    </r>
  </si>
  <si>
    <t>Based on Raymer Ch15</t>
  </si>
  <si>
    <r>
      <t>(W</t>
    </r>
    <r>
      <rPr>
        <vertAlign val="subscript"/>
        <sz val="11"/>
        <color theme="1"/>
        <rFont val="Aptos Narrow"/>
        <family val="2"/>
        <scheme val="minor"/>
      </rPr>
      <t>dg</t>
    </r>
    <r>
      <rPr>
        <sz val="11"/>
        <color theme="1"/>
        <rFont val="Aptos Narrow"/>
        <family val="2"/>
        <scheme val="minor"/>
      </rPr>
      <t>=W</t>
    </r>
    <r>
      <rPr>
        <vertAlign val="subscript"/>
        <sz val="11"/>
        <color theme="1"/>
        <rFont val="Aptos Narrow"/>
        <family val="2"/>
        <scheme val="minor"/>
      </rPr>
      <t>l</t>
    </r>
    <r>
      <rPr>
        <sz val="11"/>
        <color theme="1"/>
        <rFont val="Aptos Narrow"/>
        <family val="2"/>
        <scheme val="minor"/>
      </rPr>
      <t>) Flight Design Gross Weight = Landing Weight</t>
    </r>
  </si>
  <si>
    <t>EMPTY MASS</t>
  </si>
  <si>
    <t>PAYLOAD MASS</t>
  </si>
  <si>
    <t>Max. Load Factor</t>
  </si>
  <si>
    <t>g</t>
  </si>
  <si>
    <t>Min. Load Factor</t>
  </si>
  <si>
    <t>(SF) Safety Factor</t>
  </si>
  <si>
    <r>
      <t>(N</t>
    </r>
    <r>
      <rPr>
        <vertAlign val="subscript"/>
        <sz val="11"/>
        <color theme="1"/>
        <rFont val="Aptos Narrow"/>
        <family val="2"/>
        <scheme val="minor"/>
      </rPr>
      <t>z</t>
    </r>
    <r>
      <rPr>
        <sz val="11"/>
        <color theme="1"/>
        <rFont val="Aptos Narrow"/>
        <family val="2"/>
        <scheme val="minor"/>
      </rPr>
      <t>) Ultimate Load Factor</t>
    </r>
  </si>
  <si>
    <t>EMPTY WEIGHT VARIABLES</t>
  </si>
  <si>
    <t>PAYLOAD VARIABLES</t>
  </si>
  <si>
    <t>WING</t>
  </si>
  <si>
    <t>HTP</t>
  </si>
  <si>
    <t>VTP</t>
  </si>
  <si>
    <t>Passengers</t>
  </si>
  <si>
    <t>Crew</t>
  </si>
  <si>
    <t>Baggage</t>
  </si>
  <si>
    <t>(AR )Aspect Ratio</t>
  </si>
  <si>
    <r>
      <t>(AR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 Aspect Ratio</t>
    </r>
  </si>
  <si>
    <r>
      <t>(ARV</t>
    </r>
    <r>
      <rPr>
        <vertAlign val="subscript"/>
        <sz val="11"/>
        <color theme="1"/>
        <rFont val="Aptos Narrow"/>
        <family val="2"/>
        <scheme val="minor"/>
      </rPr>
      <t>TP</t>
    </r>
    <r>
      <rPr>
        <sz val="11"/>
        <color theme="1"/>
        <rFont val="Aptos Narrow"/>
        <family val="2"/>
        <scheme val="minor"/>
      </rPr>
      <t>) Aspect Ratio</t>
    </r>
  </si>
  <si>
    <t>Mass/Baggage</t>
  </si>
  <si>
    <t>(λ) Taper Ratio</t>
  </si>
  <si>
    <r>
      <t>(λ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 Taper Ratio</t>
    </r>
  </si>
  <si>
    <r>
      <t>(λV</t>
    </r>
    <r>
      <rPr>
        <vertAlign val="subscript"/>
        <sz val="11"/>
        <color theme="1"/>
        <rFont val="Aptos Narrow"/>
        <family val="2"/>
        <scheme val="minor"/>
      </rPr>
      <t>TP</t>
    </r>
    <r>
      <rPr>
        <sz val="11"/>
        <color theme="1"/>
        <rFont val="Aptos Narrow"/>
        <family val="2"/>
        <scheme val="minor"/>
      </rPr>
      <t xml:space="preserve">) Taper Ratio </t>
    </r>
  </si>
  <si>
    <t>Attendants</t>
  </si>
  <si>
    <t>Total Cargo</t>
  </si>
  <si>
    <t xml:space="preserve">(b) Span </t>
  </si>
  <si>
    <r>
      <t>(b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 xml:space="preserve">) Span </t>
    </r>
  </si>
  <si>
    <r>
      <t>(b</t>
    </r>
    <r>
      <rPr>
        <vertAlign val="subscript"/>
        <sz val="11"/>
        <color theme="1"/>
        <rFont val="Aptos Narrow"/>
        <family val="2"/>
        <scheme val="minor"/>
      </rPr>
      <t>VTP</t>
    </r>
    <r>
      <rPr>
        <sz val="11"/>
        <color theme="1"/>
        <rFont val="Aptos Narrow"/>
        <family val="2"/>
        <scheme val="minor"/>
      </rPr>
      <t xml:space="preserve">) Span </t>
    </r>
  </si>
  <si>
    <t>Total SOB</t>
  </si>
  <si>
    <t>Crew Mass</t>
  </si>
  <si>
    <t>(S) Surface Area</t>
  </si>
  <si>
    <r>
      <t>ft</t>
    </r>
    <r>
      <rPr>
        <vertAlign val="superscript"/>
        <sz val="11"/>
        <color theme="1"/>
        <rFont val="Aptos Narrow"/>
        <family val="2"/>
        <scheme val="minor"/>
      </rPr>
      <t>2</t>
    </r>
  </si>
  <si>
    <r>
      <t>(S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 Surface Area</t>
    </r>
  </si>
  <si>
    <r>
      <t>(S</t>
    </r>
    <r>
      <rPr>
        <vertAlign val="subscript"/>
        <sz val="11"/>
        <color theme="1"/>
        <rFont val="Aptos Narrow"/>
        <family val="2"/>
        <scheme val="minor"/>
      </rPr>
      <t>VTP</t>
    </r>
    <r>
      <rPr>
        <sz val="11"/>
        <color theme="1"/>
        <rFont val="Aptos Narrow"/>
        <family val="2"/>
        <scheme val="minor"/>
      </rPr>
      <t xml:space="preserve">) Surface Area </t>
    </r>
  </si>
  <si>
    <t>Passengers Mass</t>
  </si>
  <si>
    <t>Total SOB Mass</t>
  </si>
  <si>
    <r>
      <t>(S</t>
    </r>
    <r>
      <rPr>
        <vertAlign val="subscript"/>
        <sz val="11"/>
        <color theme="1"/>
        <rFont val="Aptos Narrow"/>
        <family val="2"/>
        <scheme val="minor"/>
      </rPr>
      <t>csw</t>
    </r>
    <r>
      <rPr>
        <sz val="11"/>
        <color theme="1"/>
        <rFont val="Aptos Narrow"/>
        <family val="2"/>
        <scheme val="minor"/>
      </rPr>
      <t>) Wing Control Surface Area</t>
    </r>
  </si>
  <si>
    <r>
      <t>(S</t>
    </r>
    <r>
      <rPr>
        <vertAlign val="subscript"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 xml:space="preserve">) Elevator Area </t>
    </r>
  </si>
  <si>
    <r>
      <t>(S</t>
    </r>
    <r>
      <rPr>
        <vertAlign val="subscript"/>
        <sz val="11"/>
        <color theme="1"/>
        <rFont val="Aptos Narrow"/>
        <family val="2"/>
        <scheme val="minor"/>
      </rPr>
      <t>r</t>
    </r>
    <r>
      <rPr>
        <sz val="11"/>
        <color theme="1"/>
        <rFont val="Aptos Narrow"/>
        <family val="2"/>
        <scheme val="minor"/>
      </rPr>
      <t>) Rudder Area</t>
    </r>
  </si>
  <si>
    <t>(Λ) Wing Sweep at 25% MAC</t>
  </si>
  <si>
    <t>Deg</t>
  </si>
  <si>
    <r>
      <t>(Λ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 xml:space="preserve">) HTP Sweep at 25% MAC </t>
    </r>
  </si>
  <si>
    <r>
      <t>(Λ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 xml:space="preserve">) VTP Sweep at 25% MAC </t>
    </r>
  </si>
  <si>
    <r>
      <t>c</t>
    </r>
    <r>
      <rPr>
        <vertAlign val="subscript"/>
        <sz val="11"/>
        <color theme="1"/>
        <rFont val="Aptos Narrow"/>
        <family val="2"/>
        <scheme val="minor"/>
      </rPr>
      <t>tip</t>
    </r>
  </si>
  <si>
    <r>
      <t>c</t>
    </r>
    <r>
      <rPr>
        <vertAlign val="subscript"/>
        <sz val="11"/>
        <color theme="1"/>
        <rFont val="Aptos Narrow"/>
        <family val="2"/>
        <scheme val="minor"/>
      </rPr>
      <t>root</t>
    </r>
  </si>
  <si>
    <t>C̅</t>
  </si>
  <si>
    <t>Y̅</t>
  </si>
  <si>
    <t>(t) Airfoil Thickness</t>
  </si>
  <si>
    <r>
      <t>(t/c)</t>
    </r>
    <r>
      <rPr>
        <vertAlign val="subscript"/>
        <sz val="11"/>
        <color theme="1"/>
        <rFont val="Aptos Narrow"/>
        <family val="2"/>
        <scheme val="minor"/>
      </rPr>
      <t>root</t>
    </r>
  </si>
  <si>
    <t>Fudge Factor (Advanced Composites)</t>
  </si>
  <si>
    <r>
      <t>(L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) Tail Length</t>
    </r>
  </si>
  <si>
    <t>T-Tail?</t>
  </si>
  <si>
    <t>All Moving Tail?</t>
  </si>
  <si>
    <r>
      <t>(c</t>
    </r>
    <r>
      <rPr>
        <vertAlign val="subscript"/>
        <sz val="11"/>
        <color theme="1"/>
        <rFont val="Aptos Narrow"/>
        <family val="2"/>
        <scheme val="minor"/>
      </rPr>
      <t>VT</t>
    </r>
    <r>
      <rPr>
        <sz val="11"/>
        <color theme="1"/>
        <rFont val="Aptos Narrow"/>
        <family val="2"/>
        <scheme val="minor"/>
      </rPr>
      <t>) VTP Volume Coefficient</t>
    </r>
  </si>
  <si>
    <r>
      <t>(c</t>
    </r>
    <r>
      <rPr>
        <vertAlign val="subscript"/>
        <sz val="11"/>
        <color theme="1"/>
        <rFont val="Aptos Narrow"/>
        <family val="2"/>
        <scheme val="minor"/>
      </rPr>
      <t>HT</t>
    </r>
    <r>
      <rPr>
        <sz val="11"/>
        <color theme="1"/>
        <rFont val="Aptos Narrow"/>
        <family val="2"/>
        <scheme val="minor"/>
      </rPr>
      <t>) HTP Volume Coeffiient</t>
    </r>
  </si>
  <si>
    <t>WING MASS</t>
  </si>
  <si>
    <t>HTP MASS</t>
  </si>
  <si>
    <t>VTP MASS</t>
  </si>
  <si>
    <t>FUSELAGE</t>
  </si>
  <si>
    <t>Main Landing Gear (MLG)</t>
  </si>
  <si>
    <t>Nose Landing Gear (NLG)</t>
  </si>
  <si>
    <t>Summary</t>
  </si>
  <si>
    <t>(L) Structural Fuselage Length</t>
  </si>
  <si>
    <r>
      <t>(L</t>
    </r>
    <r>
      <rPr>
        <vertAlign val="subscript"/>
        <sz val="11"/>
        <color theme="1"/>
        <rFont val="Aptos Narrow"/>
        <family val="2"/>
        <scheme val="minor"/>
      </rPr>
      <t>m</t>
    </r>
    <r>
      <rPr>
        <sz val="11"/>
        <color theme="1"/>
        <rFont val="Aptos Narrow"/>
        <family val="2"/>
        <scheme val="minor"/>
      </rPr>
      <t xml:space="preserve">) Extended Length </t>
    </r>
  </si>
  <si>
    <t>in</t>
  </si>
  <si>
    <r>
      <t>(L</t>
    </r>
    <r>
      <rPr>
        <vertAlign val="subscript"/>
        <sz val="11"/>
        <color theme="1"/>
        <rFont val="Aptos Narrow"/>
        <family val="2"/>
        <scheme val="minor"/>
      </rPr>
      <t>n</t>
    </r>
    <r>
      <rPr>
        <sz val="11"/>
        <color theme="1"/>
        <rFont val="Aptos Narrow"/>
        <family val="2"/>
        <scheme val="minor"/>
      </rPr>
      <t xml:space="preserve">) Extended Length </t>
    </r>
  </si>
  <si>
    <t>Component</t>
  </si>
  <si>
    <r>
      <t>(L</t>
    </r>
    <r>
      <rPr>
        <vertAlign val="subscript"/>
        <sz val="11"/>
        <color theme="1"/>
        <rFont val="Aptos Narrow"/>
        <family val="2"/>
        <scheme val="minor"/>
      </rPr>
      <t>f</t>
    </r>
    <r>
      <rPr>
        <sz val="11"/>
        <color theme="1"/>
        <rFont val="Aptos Narrow"/>
        <family val="2"/>
        <scheme val="minor"/>
      </rPr>
      <t>) Total Fuselage Length (Twin Turboprop)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</si>
  <si>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mw</t>
    </r>
    <r>
      <rPr>
        <sz val="11"/>
        <color theme="1"/>
        <rFont val="Aptos Narrow"/>
        <family val="2"/>
        <scheme val="minor"/>
      </rPr>
      <t xml:space="preserve">) Number of Wheels 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</si>
  <si>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nw</t>
    </r>
    <r>
      <rPr>
        <sz val="11"/>
        <color theme="1"/>
        <rFont val="Aptos Narrow"/>
        <family val="2"/>
        <scheme val="minor"/>
      </rPr>
      <t xml:space="preserve">) Number of Wheels </t>
    </r>
  </si>
  <si>
    <t>Wing</t>
  </si>
  <si>
    <r>
      <t>(D</t>
    </r>
    <r>
      <rPr>
        <vertAlign val="subscript"/>
        <sz val="11"/>
        <color theme="1"/>
        <rFont val="Aptos Narrow"/>
        <family val="2"/>
        <scheme val="minor"/>
      </rPr>
      <t>f</t>
    </r>
    <r>
      <rPr>
        <sz val="11"/>
        <color theme="1"/>
        <rFont val="Aptos Narrow"/>
        <family val="2"/>
        <scheme val="minor"/>
      </rPr>
      <t>) Fuselage Diameter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</si>
  <si>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ss</t>
    </r>
    <r>
      <rPr>
        <sz val="11"/>
        <color theme="1"/>
        <rFont val="Aptos Narrow"/>
        <family val="2"/>
        <scheme val="minor"/>
      </rPr>
      <t xml:space="preserve">) Number of Shock Struts 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</si>
  <si>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Gear</t>
    </r>
    <r>
      <rPr>
        <sz val="11"/>
        <color theme="1"/>
        <rFont val="Aptos Narrow"/>
        <family val="2"/>
        <scheme val="minor"/>
      </rPr>
      <t>) Number of Gears</t>
    </r>
  </si>
  <si>
    <r>
      <t>(S</t>
    </r>
    <r>
      <rPr>
        <vertAlign val="subscript"/>
        <sz val="11"/>
        <color theme="1"/>
        <rFont val="Aptos Narrow"/>
        <family val="2"/>
        <scheme val="minor"/>
      </rPr>
      <t>f</t>
    </r>
    <r>
      <rPr>
        <sz val="11"/>
        <color theme="1"/>
        <rFont val="Aptos Narrow"/>
        <family val="2"/>
        <scheme val="minor"/>
      </rPr>
      <t>) Fuselage Wetted Area</t>
    </r>
  </si>
  <si>
    <t>Kneeling Gear?</t>
  </si>
  <si>
    <r>
      <t>(F</t>
    </r>
    <r>
      <rPr>
        <vertAlign val="subscript"/>
        <sz val="11"/>
        <color theme="1"/>
        <rFont val="Aptos Narrow"/>
        <family val="2"/>
        <scheme val="minor"/>
      </rPr>
      <t>w</t>
    </r>
    <r>
      <rPr>
        <sz val="11"/>
        <color theme="1"/>
        <rFont val="Aptos Narrow"/>
        <family val="2"/>
        <scheme val="minor"/>
      </rPr>
      <t>) Fuselage Width @ HTP Intersection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</si>
  <si>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Stall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</si>
  <si>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l</t>
    </r>
    <r>
      <rPr>
        <sz val="11"/>
        <color theme="1"/>
        <rFont val="Aptos Narrow"/>
        <family val="2"/>
        <scheme val="minor"/>
      </rPr>
      <t>) Ultimate Landing Load Factor</t>
    </r>
  </si>
  <si>
    <t>Fuselage</t>
  </si>
  <si>
    <t>L/D</t>
  </si>
  <si>
    <t>MLG</t>
  </si>
  <si>
    <t>Fuselage Mounted Gear?</t>
  </si>
  <si>
    <t>NLG</t>
  </si>
  <si>
    <t>Nacelle</t>
  </si>
  <si>
    <t>FUSELAGE MASS</t>
  </si>
  <si>
    <t>MLG MASS</t>
  </si>
  <si>
    <t>NLG MASS</t>
  </si>
  <si>
    <t>Motor</t>
  </si>
  <si>
    <t>Engine Controls</t>
  </si>
  <si>
    <t>Electric Motor</t>
  </si>
  <si>
    <t>Flight Controls</t>
  </si>
  <si>
    <r>
      <t>(N</t>
    </r>
    <r>
      <rPr>
        <vertAlign val="subscript"/>
        <sz val="11"/>
        <color theme="1"/>
        <rFont val="Aptos Narrow"/>
        <family val="2"/>
        <scheme val="minor"/>
      </rPr>
      <t>Lt</t>
    </r>
    <r>
      <rPr>
        <sz val="11"/>
        <color theme="1"/>
        <rFont val="Aptos Narrow"/>
        <family val="2"/>
        <scheme val="minor"/>
      </rPr>
      <t>) Nacelle Length</t>
    </r>
  </si>
  <si>
    <t>Number of Motors</t>
  </si>
  <si>
    <t>Length From Engine Front-Cockpit</t>
  </si>
  <si>
    <t>Electricals</t>
  </si>
  <si>
    <r>
      <t>(N</t>
    </r>
    <r>
      <rPr>
        <vertAlign val="subscript"/>
        <sz val="11"/>
        <color theme="1"/>
        <rFont val="Aptos Narrow"/>
        <family val="2"/>
        <scheme val="minor"/>
      </rPr>
      <t>w</t>
    </r>
    <r>
      <rPr>
        <sz val="11"/>
        <color theme="1"/>
        <rFont val="Aptos Narrow"/>
        <family val="2"/>
        <scheme val="minor"/>
      </rPr>
      <t>) Nacelle Width (Diameter)</t>
    </r>
  </si>
  <si>
    <t>Each Motor Mass</t>
  </si>
  <si>
    <t>Pylon-Mounted?</t>
  </si>
  <si>
    <t>Reciprocating Engines?</t>
  </si>
  <si>
    <t>Air Conditioning</t>
  </si>
  <si>
    <r>
      <t>(S</t>
    </r>
    <r>
      <rPr>
        <vertAlign val="subscript"/>
        <sz val="11"/>
        <color theme="1"/>
        <rFont val="Aptos Narrow"/>
        <family val="2"/>
        <scheme val="minor"/>
      </rPr>
      <t>n</t>
    </r>
    <r>
      <rPr>
        <sz val="11"/>
        <color theme="1"/>
        <rFont val="Aptos Narrow"/>
        <family val="2"/>
        <scheme val="minor"/>
      </rPr>
      <t>) Wetted Area</t>
    </r>
  </si>
  <si>
    <t>Jet with Thrust Reverser?</t>
  </si>
  <si>
    <t>APU</t>
  </si>
  <si>
    <t>(Wec) Mass of Engine &amp; Contents</t>
  </si>
  <si>
    <t>Propeller?</t>
  </si>
  <si>
    <t>Furnishing</t>
  </si>
  <si>
    <t>Turboprop?</t>
  </si>
  <si>
    <t>Hydraulics</t>
  </si>
  <si>
    <t>NACELLE MASS</t>
  </si>
  <si>
    <t>MOTOR MASS</t>
  </si>
  <si>
    <t>ENGINE CONTROLS MASS</t>
  </si>
  <si>
    <t>Pneumatics</t>
  </si>
  <si>
    <t>Instruments</t>
  </si>
  <si>
    <t>Electrical</t>
  </si>
  <si>
    <t>Anti-Ice</t>
  </si>
  <si>
    <r>
      <t>(N</t>
    </r>
    <r>
      <rPr>
        <vertAlign val="subscript"/>
        <sz val="11"/>
        <color theme="1"/>
        <rFont val="Aptos Narrow"/>
        <family val="2"/>
        <scheme val="minor"/>
      </rPr>
      <t>f</t>
    </r>
    <r>
      <rPr>
        <sz val="11"/>
        <color theme="1"/>
        <rFont val="Aptos Narrow"/>
        <family val="2"/>
        <scheme val="minor"/>
      </rPr>
      <t>) Functions Performed by Controls</t>
    </r>
  </si>
  <si>
    <r>
      <t>(R</t>
    </r>
    <r>
      <rPr>
        <vertAlign val="subscript"/>
        <sz val="11"/>
        <color theme="1"/>
        <rFont val="Aptos Narrow"/>
        <family val="2"/>
        <scheme val="minor"/>
      </rPr>
      <t>kva</t>
    </r>
    <r>
      <rPr>
        <sz val="11"/>
        <color theme="1"/>
        <rFont val="Aptos Narrow"/>
        <family val="2"/>
        <scheme val="minor"/>
      </rPr>
      <t>) System Electrical Rating</t>
    </r>
  </si>
  <si>
    <t>kV</t>
  </si>
  <si>
    <r>
      <t>(W</t>
    </r>
    <r>
      <rPr>
        <vertAlign val="subscript"/>
        <sz val="11"/>
        <color theme="1"/>
        <rFont val="Aptos Narrow"/>
        <family val="2"/>
        <scheme val="minor"/>
      </rPr>
      <t>UAV</t>
    </r>
    <r>
      <rPr>
        <sz val="11"/>
        <color theme="1"/>
        <rFont val="Aptos Narrow"/>
        <family val="2"/>
        <scheme val="minor"/>
      </rPr>
      <t>) Uninstalled Avionics Mass</t>
    </r>
  </si>
  <si>
    <t>Handling-gear</t>
  </si>
  <si>
    <r>
      <t>(N</t>
    </r>
    <r>
      <rPr>
        <vertAlign val="subscript"/>
        <sz val="11"/>
        <color theme="1"/>
        <rFont val="Aptos Narrow"/>
        <family val="2"/>
        <scheme val="minor"/>
      </rPr>
      <t>m</t>
    </r>
    <r>
      <rPr>
        <sz val="11"/>
        <color theme="1"/>
        <rFont val="Aptos Narrow"/>
        <family val="2"/>
        <scheme val="minor"/>
      </rPr>
      <t>) Mechanical Functions</t>
    </r>
  </si>
  <si>
    <r>
      <t>(L</t>
    </r>
    <r>
      <rPr>
        <vertAlign val="subscript"/>
        <sz val="11"/>
        <color theme="1"/>
        <rFont val="Aptos Narrow"/>
        <family val="2"/>
        <scheme val="minor"/>
      </rPr>
      <t>a</t>
    </r>
    <r>
      <rPr>
        <sz val="11"/>
        <color theme="1"/>
        <rFont val="Aptos Narrow"/>
        <family val="2"/>
        <scheme val="minor"/>
      </rPr>
      <t>) Electrical Routing Distance</t>
    </r>
  </si>
  <si>
    <t>Seats</t>
  </si>
  <si>
    <r>
      <t>(S</t>
    </r>
    <r>
      <rPr>
        <vertAlign val="subscript"/>
        <sz val="11"/>
        <color theme="1"/>
        <rFont val="Aptos Narrow"/>
        <family val="2"/>
        <scheme val="minor"/>
      </rPr>
      <t>cs</t>
    </r>
    <r>
      <rPr>
        <sz val="11"/>
        <color theme="1"/>
        <rFont val="Aptos Narrow"/>
        <family val="2"/>
        <scheme val="minor"/>
      </rPr>
      <t>) Total Control Surface Area</t>
    </r>
  </si>
  <si>
    <r>
      <t>(N</t>
    </r>
    <r>
      <rPr>
        <vertAlign val="subscript"/>
        <sz val="11"/>
        <color theme="1"/>
        <rFont val="Aptos Narrow"/>
        <family val="2"/>
        <scheme val="minor"/>
      </rPr>
      <t>gen</t>
    </r>
    <r>
      <rPr>
        <sz val="11"/>
        <color theme="1"/>
        <rFont val="Aptos Narrow"/>
        <family val="2"/>
        <scheme val="minor"/>
      </rPr>
      <t>) Number of Generators</t>
    </r>
  </si>
  <si>
    <t>Lavatory</t>
  </si>
  <si>
    <r>
      <t>(I</t>
    </r>
    <r>
      <rPr>
        <vertAlign val="subscript"/>
        <sz val="11"/>
        <color theme="1"/>
        <rFont val="Aptos Narrow"/>
        <family val="2"/>
        <scheme val="minor"/>
      </rPr>
      <t>yaw</t>
    </r>
    <r>
      <rPr>
        <sz val="11"/>
        <color theme="1"/>
        <rFont val="Aptos Narrow"/>
        <family val="2"/>
        <scheme val="minor"/>
      </rPr>
      <t>) Yawing Moment of Inertia</t>
    </r>
  </si>
  <si>
    <r>
      <t>lb-ft</t>
    </r>
    <r>
      <rPr>
        <vertAlign val="superscript"/>
        <sz val="11"/>
        <color theme="1"/>
        <rFont val="Aptos Narrow"/>
        <family val="2"/>
        <scheme val="minor"/>
      </rPr>
      <t>2</t>
    </r>
  </si>
  <si>
    <t>Propeller</t>
  </si>
  <si>
    <t>FLIGHT CONTROLS MASS</t>
  </si>
  <si>
    <t>ELECTRICAL MASS</t>
  </si>
  <si>
    <t>AVIONICS</t>
  </si>
  <si>
    <t xml:space="preserve">APU </t>
  </si>
  <si>
    <t>Furnishings</t>
  </si>
  <si>
    <r>
      <t>(V</t>
    </r>
    <r>
      <rPr>
        <vertAlign val="subscript"/>
        <sz val="11"/>
        <color theme="1"/>
        <rFont val="Aptos Narrow"/>
        <family val="2"/>
        <scheme val="minor"/>
      </rPr>
      <t>pr</t>
    </r>
    <r>
      <rPr>
        <sz val="11"/>
        <color theme="1"/>
        <rFont val="Aptos Narrow"/>
        <family val="2"/>
        <scheme val="minor"/>
      </rPr>
      <t>) Volume of Pressurized Section</t>
    </r>
  </si>
  <si>
    <r>
      <t>ft</t>
    </r>
    <r>
      <rPr>
        <vertAlign val="superscript"/>
        <sz val="11"/>
        <color theme="1"/>
        <rFont val="Aptos Narrow"/>
        <family val="2"/>
        <scheme val="minor"/>
      </rPr>
      <t>3</t>
    </r>
  </si>
  <si>
    <r>
      <t>(W</t>
    </r>
    <r>
      <rPr>
        <vertAlign val="subscript"/>
        <sz val="11"/>
        <color theme="1"/>
        <rFont val="Aptos Narrow"/>
        <family val="2"/>
        <scheme val="minor"/>
      </rPr>
      <t>UAP</t>
    </r>
    <r>
      <rPr>
        <sz val="11"/>
        <color theme="1"/>
        <rFont val="Aptos Narrow"/>
        <family val="2"/>
        <scheme val="minor"/>
      </rPr>
      <t>) Uninstalled APU Mass</t>
    </r>
  </si>
  <si>
    <t>Max. Cargo Mass</t>
  </si>
  <si>
    <t>AIR CONDITIONING MASS</t>
  </si>
  <si>
    <t>APU MASS</t>
  </si>
  <si>
    <t>FURNISHINGS MASS</t>
  </si>
  <si>
    <t>INSTRUMENTS</t>
  </si>
  <si>
    <t>Hydraulics Mass</t>
  </si>
  <si>
    <t>Pneumatics Mass</t>
  </si>
  <si>
    <t>Instruments Mass</t>
  </si>
  <si>
    <t>HYDRAULICS MASS</t>
  </si>
  <si>
    <t>PNEUMATICS MASS</t>
  </si>
  <si>
    <t>INSTRUMENTS MASS</t>
  </si>
  <si>
    <t>Handling-Gear</t>
  </si>
  <si>
    <t>Flight Deck Seat Mass</t>
  </si>
  <si>
    <t>Passenger Seat Mass</t>
  </si>
  <si>
    <t>ANTI-ICE MASS</t>
  </si>
  <si>
    <t>HANDLING-GEAR MASS</t>
  </si>
  <si>
    <t>SEATS MASS</t>
  </si>
  <si>
    <t xml:space="preserve">Propeller </t>
  </si>
  <si>
    <t>Material Density (Composite)</t>
  </si>
  <si>
    <r>
      <t>lb/ft</t>
    </r>
    <r>
      <rPr>
        <vertAlign val="superscript"/>
        <sz val="11"/>
        <color theme="1"/>
        <rFont val="Aptos Narrow"/>
        <family val="2"/>
        <scheme val="minor"/>
      </rPr>
      <t>3</t>
    </r>
  </si>
  <si>
    <t>Propeller Diameter (Length)</t>
  </si>
  <si>
    <t xml:space="preserve">Propeller Thickness </t>
  </si>
  <si>
    <t>Propeller Width</t>
  </si>
  <si>
    <t>Volume</t>
  </si>
  <si>
    <t>LAVATORY MASS</t>
  </si>
  <si>
    <t>PROPELLER MASS</t>
  </si>
  <si>
    <t>Constants</t>
  </si>
  <si>
    <r>
      <t>K</t>
    </r>
    <r>
      <rPr>
        <vertAlign val="subscript"/>
        <sz val="11"/>
        <color theme="1"/>
        <rFont val="Aptos Narrow"/>
        <family val="2"/>
        <scheme val="minor"/>
      </rPr>
      <t>uht</t>
    </r>
  </si>
  <si>
    <t>Ky</t>
  </si>
  <si>
    <r>
      <t>H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/H</t>
    </r>
    <r>
      <rPr>
        <vertAlign val="subscript"/>
        <sz val="11"/>
        <color theme="1"/>
        <rFont val="Aptos Narrow"/>
        <family val="2"/>
        <scheme val="minor"/>
      </rPr>
      <t>v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</si>
  <si>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z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</si>
  <si>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door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</si>
  <si>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LG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</si>
  <si>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ws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</si>
  <si>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mp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</si>
  <si>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np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</si>
  <si>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ng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</si>
  <si>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P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</si>
  <si>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tr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</si>
  <si>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r</t>
    </r>
  </si>
  <si>
    <r>
      <t>K</t>
    </r>
    <r>
      <rPr>
        <vertAlign val="subscript"/>
        <sz val="11"/>
        <color theme="1"/>
        <rFont val="Aptos Narrow"/>
        <family val="2"/>
        <scheme val="minor"/>
      </rPr>
      <t>tp</t>
    </r>
  </si>
  <si>
    <t xml:space="preserve"> 🪨 DRAG🪨</t>
  </si>
  <si>
    <t>Parameter</t>
  </si>
  <si>
    <t>Value</t>
  </si>
  <si>
    <t>Unit</t>
  </si>
  <si>
    <t>Cf Data</t>
  </si>
  <si>
    <t>Empty Weight</t>
  </si>
  <si>
    <t>N</t>
  </si>
  <si>
    <t>Horz Stab</t>
  </si>
  <si>
    <t>Vert Stab</t>
  </si>
  <si>
    <t>Total Weight</t>
  </si>
  <si>
    <t>Lift Coefficient</t>
  </si>
  <si>
    <t>Takeoff</t>
  </si>
  <si>
    <t>rho 25000 feet (Cruise)</t>
  </si>
  <si>
    <t>kg/m^3</t>
  </si>
  <si>
    <t>rho sea level</t>
  </si>
  <si>
    <t>Cd_0 Data</t>
  </si>
  <si>
    <t>VCruise</t>
  </si>
  <si>
    <t>m/s</t>
  </si>
  <si>
    <t>V_TO</t>
  </si>
  <si>
    <t>mu 25000 feet</t>
  </si>
  <si>
    <t>N*s/m^2</t>
  </si>
  <si>
    <t>mu sea level</t>
  </si>
  <si>
    <t>q cruise</t>
  </si>
  <si>
    <t>Pa</t>
  </si>
  <si>
    <t>q takeoff</t>
  </si>
  <si>
    <t>Cd_0 Total Cruise</t>
  </si>
  <si>
    <t>chord length wing</t>
  </si>
  <si>
    <t>m</t>
  </si>
  <si>
    <t>Cd_0 Total Takeoff</t>
  </si>
  <si>
    <t>wing span</t>
  </si>
  <si>
    <t>Cd_i</t>
  </si>
  <si>
    <t>wing thickness</t>
  </si>
  <si>
    <t>Cd Total Cruise</t>
  </si>
  <si>
    <t>wing area = S_ref</t>
  </si>
  <si>
    <t>m^2</t>
  </si>
  <si>
    <t>Cd Total Takeoff</t>
  </si>
  <si>
    <t>thick/chord wing (Avg)</t>
  </si>
  <si>
    <t>Total Drag Cruise</t>
  </si>
  <si>
    <t>Total Drag Takeoff</t>
  </si>
  <si>
    <t>length fuselage</t>
  </si>
  <si>
    <t>diameter fuselage</t>
  </si>
  <si>
    <t>chord length horz stab</t>
  </si>
  <si>
    <t>horz stab span</t>
  </si>
  <si>
    <t>horz stab thick</t>
  </si>
  <si>
    <t>horz stab area</t>
  </si>
  <si>
    <t>thick/chord horz stab (Avg)</t>
  </si>
  <si>
    <t>chord length vert stab</t>
  </si>
  <si>
    <t>vert stab span</t>
  </si>
  <si>
    <t>vert stab thick</t>
  </si>
  <si>
    <t>vert stab area</t>
  </si>
  <si>
    <t>thick/chord vert stab (Avg)</t>
  </si>
  <si>
    <t>nacelle length</t>
  </si>
  <si>
    <t>nacelle diameter</t>
  </si>
  <si>
    <t>Re Wing Cruise</t>
  </si>
  <si>
    <t>Re Wing Takeoff</t>
  </si>
  <si>
    <t>Re Fuselage Cruise</t>
  </si>
  <si>
    <t>Re Fuselage Takeoff</t>
  </si>
  <si>
    <t>Re Horz Stab Cruise</t>
  </si>
  <si>
    <t>Re Horz Stab Takeoff</t>
  </si>
  <si>
    <t>Re Vert Stab Cruise</t>
  </si>
  <si>
    <t>Re Vert Stab Takeoff</t>
  </si>
  <si>
    <t>Re Nacelle Cruise</t>
  </si>
  <si>
    <t>Re Nacelle Takeoff</t>
  </si>
  <si>
    <t>fineness ratio</t>
  </si>
  <si>
    <t>S_Wet fuselage</t>
  </si>
  <si>
    <t>S_Wet wing</t>
  </si>
  <si>
    <t>S_Wet horz stab</t>
  </si>
  <si>
    <t>S_Wet vert stab</t>
  </si>
  <si>
    <t>S_Wet nacelle</t>
  </si>
  <si>
    <t>Form Factor Wing</t>
  </si>
  <si>
    <t>Form Factor Fuselage</t>
  </si>
  <si>
    <t>Form Factor Horz Stab</t>
  </si>
  <si>
    <t>Form Factor Vert Stab</t>
  </si>
  <si>
    <t>Form Factor Nacelle</t>
  </si>
  <si>
    <t>Interference Factor From Engine Placement</t>
  </si>
  <si>
    <t>Interference Factor from High Wing</t>
  </si>
  <si>
    <t>Interference Factor T Tail</t>
  </si>
  <si>
    <t>Leak/Protrubence Factor</t>
  </si>
  <si>
    <t>Oswald Factor</t>
  </si>
  <si>
    <t>drag area = flat plate equivalnet area</t>
  </si>
  <si>
    <t>🔢INPUTS🔢</t>
  </si>
  <si>
    <t>Units</t>
  </si>
  <si>
    <t>:)</t>
  </si>
  <si>
    <t>Required for</t>
  </si>
  <si>
    <r>
      <t>CD</t>
    </r>
    <r>
      <rPr>
        <vertAlign val="subscript"/>
        <sz val="11"/>
        <color theme="1"/>
        <rFont val="Aptos Narrow"/>
        <family val="2"/>
        <scheme val="minor"/>
      </rPr>
      <t>0</t>
    </r>
  </si>
  <si>
    <t>MP</t>
  </si>
  <si>
    <t>CL</t>
  </si>
  <si>
    <t>-</t>
  </si>
  <si>
    <t>Formulas (NO TOUCH)</t>
  </si>
  <si>
    <t> c̅</t>
  </si>
  <si>
    <t>Everything Else :)</t>
  </si>
  <si>
    <t>Weights</t>
  </si>
  <si>
    <t> ȳ</t>
  </si>
  <si>
    <t>Oswald Efficiency</t>
  </si>
  <si>
    <t>Lift-induced Drag Constant</t>
  </si>
  <si>
    <t>Thickness-Chord Ratio (t/c)</t>
  </si>
  <si>
    <t>L/D (Fuselage)</t>
  </si>
  <si>
    <r>
      <t>Total Control Surface Area (S</t>
    </r>
    <r>
      <rPr>
        <vertAlign val="subscript"/>
        <sz val="11"/>
        <color theme="1"/>
        <rFont val="Aptos Narrow"/>
        <family val="2"/>
        <scheme val="minor"/>
      </rPr>
      <t>cs</t>
    </r>
    <r>
      <rPr>
        <sz val="11"/>
        <color theme="1"/>
        <rFont val="Aptos Narrow"/>
        <family val="2"/>
        <scheme val="minor"/>
      </rPr>
      <t>)</t>
    </r>
  </si>
  <si>
    <t>Aspect Ratio (AR)</t>
  </si>
  <si>
    <t>Taper Ratio (λ)</t>
  </si>
  <si>
    <t>Span (b)</t>
  </si>
  <si>
    <t>Surface Area (S)</t>
  </si>
  <si>
    <r>
      <t>Wing Control Surface Area (S</t>
    </r>
    <r>
      <rPr>
        <vertAlign val="subscript"/>
        <sz val="11"/>
        <color theme="1"/>
        <rFont val="Aptos Narrow"/>
        <family val="2"/>
        <scheme val="minor"/>
      </rPr>
      <t>csw</t>
    </r>
    <r>
      <rPr>
        <sz val="11"/>
        <color theme="1"/>
        <rFont val="Aptos Narrow"/>
        <family val="2"/>
        <scheme val="minor"/>
      </rPr>
      <t>)</t>
    </r>
  </si>
  <si>
    <t>Wing Sweep at 25% MAC (Λ)</t>
  </si>
  <si>
    <r>
      <t>Aspect Ratio (AR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</t>
    </r>
  </si>
  <si>
    <r>
      <t>Taper Ratio (λ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</t>
    </r>
  </si>
  <si>
    <r>
      <t>Span (b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</t>
    </r>
  </si>
  <si>
    <r>
      <t>Surface Area (S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</t>
    </r>
  </si>
  <si>
    <r>
      <t>Elevator Area (S</t>
    </r>
    <r>
      <rPr>
        <vertAlign val="subscript"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</t>
    </r>
  </si>
  <si>
    <r>
      <t>HTP Sweep at 25% MAC (Λ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</t>
    </r>
  </si>
  <si>
    <r>
      <t>Aspect Ratio (ARV</t>
    </r>
    <r>
      <rPr>
        <vertAlign val="subscript"/>
        <sz val="11"/>
        <color theme="1"/>
        <rFont val="Aptos Narrow"/>
        <family val="2"/>
        <scheme val="minor"/>
      </rPr>
      <t>TP</t>
    </r>
    <r>
      <rPr>
        <sz val="11"/>
        <color theme="1"/>
        <rFont val="Aptos Narrow"/>
        <family val="2"/>
        <scheme val="minor"/>
      </rPr>
      <t>)</t>
    </r>
  </si>
  <si>
    <r>
      <t>Taper Ratio (λV</t>
    </r>
    <r>
      <rPr>
        <vertAlign val="subscript"/>
        <sz val="11"/>
        <color theme="1"/>
        <rFont val="Aptos Narrow"/>
        <family val="2"/>
        <scheme val="minor"/>
      </rPr>
      <t>TP</t>
    </r>
    <r>
      <rPr>
        <sz val="11"/>
        <color theme="1"/>
        <rFont val="Aptos Narrow"/>
        <family val="2"/>
        <scheme val="minor"/>
      </rPr>
      <t>)</t>
    </r>
  </si>
  <si>
    <r>
      <t>Span (b</t>
    </r>
    <r>
      <rPr>
        <vertAlign val="subscript"/>
        <sz val="11"/>
        <color theme="1"/>
        <rFont val="Aptos Narrow"/>
        <family val="2"/>
        <scheme val="minor"/>
      </rPr>
      <t>VTP</t>
    </r>
    <r>
      <rPr>
        <sz val="11"/>
        <color theme="1"/>
        <rFont val="Aptos Narrow"/>
        <family val="2"/>
        <scheme val="minor"/>
      </rPr>
      <t>)</t>
    </r>
  </si>
  <si>
    <r>
      <t>Surface Area (S</t>
    </r>
    <r>
      <rPr>
        <vertAlign val="subscript"/>
        <sz val="11"/>
        <color theme="1"/>
        <rFont val="Aptos Narrow"/>
        <family val="2"/>
        <scheme val="minor"/>
      </rPr>
      <t>VTP</t>
    </r>
    <r>
      <rPr>
        <sz val="11"/>
        <color theme="1"/>
        <rFont val="Aptos Narrow"/>
        <family val="2"/>
        <scheme val="minor"/>
      </rPr>
      <t>)</t>
    </r>
  </si>
  <si>
    <r>
      <t>VTP Sweep at 25% MAC (Λ</t>
    </r>
    <r>
      <rPr>
        <vertAlign val="subscript"/>
        <sz val="11"/>
        <color theme="1"/>
        <rFont val="Aptos Narrow"/>
        <family val="2"/>
        <scheme val="minor"/>
      </rPr>
      <t>HTP</t>
    </r>
    <r>
      <rPr>
        <sz val="11"/>
        <color theme="1"/>
        <rFont val="Aptos Narrow"/>
        <family val="2"/>
        <scheme val="minor"/>
      </rPr>
      <t>)</t>
    </r>
  </si>
  <si>
    <t>AUXILLIARIES &amp; SYSTEMS</t>
  </si>
  <si>
    <t>Number of Passengers</t>
  </si>
  <si>
    <t>Number of Crew</t>
  </si>
  <si>
    <r>
      <t>Systems Electrical Rating (R</t>
    </r>
    <r>
      <rPr>
        <vertAlign val="subscript"/>
        <sz val="11"/>
        <color theme="1"/>
        <rFont val="Aptos Narrow"/>
        <family val="2"/>
        <scheme val="minor"/>
      </rPr>
      <t>kva</t>
    </r>
    <r>
      <rPr>
        <sz val="11"/>
        <color theme="1"/>
        <rFont val="Aptos Narrow"/>
        <family val="2"/>
        <scheme val="minor"/>
      </rPr>
      <t>)</t>
    </r>
  </si>
  <si>
    <r>
      <t>Electrical Routing Distance (L</t>
    </r>
    <r>
      <rPr>
        <vertAlign val="subscript"/>
        <sz val="11"/>
        <color theme="1"/>
        <rFont val="Aptos Narrow"/>
        <family val="2"/>
        <scheme val="minor"/>
      </rPr>
      <t>ec</t>
    </r>
    <r>
      <rPr>
        <sz val="11"/>
        <color theme="1"/>
        <rFont val="Aptos Narrow"/>
        <family val="2"/>
        <scheme val="minor"/>
      </rPr>
      <t>)</t>
    </r>
  </si>
  <si>
    <t>Number of Generators</t>
  </si>
  <si>
    <t>Mass of Uninstalled Avionics</t>
  </si>
  <si>
    <t>Mass Uninstalled APU</t>
  </si>
  <si>
    <t>Mass of Uninstalled APU</t>
  </si>
  <si>
    <t>Air Conditioning Unit</t>
  </si>
  <si>
    <t>Total Number of SOB</t>
  </si>
  <si>
    <t>Volume of Pressurized Section</t>
  </si>
  <si>
    <r>
      <t>Extended Length (L</t>
    </r>
    <r>
      <rPr>
        <vertAlign val="subscript"/>
        <sz val="11"/>
        <color theme="1"/>
        <rFont val="Aptos Narrow"/>
        <family val="2"/>
        <scheme val="minor"/>
      </rPr>
      <t>m</t>
    </r>
    <r>
      <rPr>
        <sz val="11"/>
        <color theme="1"/>
        <rFont val="Aptos Narrow"/>
        <family val="2"/>
        <scheme val="minor"/>
      </rPr>
      <t>)</t>
    </r>
  </si>
  <si>
    <r>
      <t>Number of Wheels (N</t>
    </r>
    <r>
      <rPr>
        <vertAlign val="subscript"/>
        <sz val="11"/>
        <color theme="1"/>
        <rFont val="Aptos Narrow"/>
        <family val="2"/>
        <scheme val="minor"/>
      </rPr>
      <t>mw</t>
    </r>
    <r>
      <rPr>
        <sz val="11"/>
        <color theme="1"/>
        <rFont val="Aptos Narrow"/>
        <family val="2"/>
        <scheme val="minor"/>
      </rPr>
      <t>)</t>
    </r>
  </si>
  <si>
    <r>
      <t>Number of Shock Struts (N</t>
    </r>
    <r>
      <rPr>
        <vertAlign val="subscript"/>
        <sz val="11"/>
        <color theme="1"/>
        <rFont val="Aptos Narrow"/>
        <family val="2"/>
        <scheme val="minor"/>
      </rPr>
      <t>ss</t>
    </r>
    <r>
      <rPr>
        <sz val="11"/>
        <color theme="1"/>
        <rFont val="Aptos Narrow"/>
        <family val="2"/>
        <scheme val="minor"/>
      </rPr>
      <t>)</t>
    </r>
  </si>
  <si>
    <r>
      <t>Extended Length (L</t>
    </r>
    <r>
      <rPr>
        <vertAlign val="subscript"/>
        <sz val="11"/>
        <color theme="1"/>
        <rFont val="Aptos Narrow"/>
        <family val="2"/>
        <scheme val="minor"/>
      </rPr>
      <t>n</t>
    </r>
    <r>
      <rPr>
        <sz val="11"/>
        <color theme="1"/>
        <rFont val="Aptos Narrow"/>
        <family val="2"/>
        <scheme val="minor"/>
      </rPr>
      <t>)</t>
    </r>
  </si>
  <si>
    <r>
      <t>Number of Wheels (Nn</t>
    </r>
    <r>
      <rPr>
        <vertAlign val="subscript"/>
        <sz val="11"/>
        <color theme="1"/>
        <rFont val="Aptos Narrow"/>
        <family val="2"/>
        <scheme val="minor"/>
      </rPr>
      <t>w</t>
    </r>
    <r>
      <rPr>
        <sz val="11"/>
        <color theme="1"/>
        <rFont val="Aptos Narrow"/>
        <family val="2"/>
        <scheme val="minor"/>
      </rPr>
      <t>)</t>
    </r>
  </si>
  <si>
    <t>PERFORMANCE</t>
  </si>
  <si>
    <r>
      <t>V</t>
    </r>
    <r>
      <rPr>
        <vertAlign val="subscript"/>
        <sz val="11"/>
        <color theme="1"/>
        <rFont val="Aptos Narrow"/>
        <family val="2"/>
        <scheme val="minor"/>
      </rPr>
      <t>Cruise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</si>
  <si>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Max</t>
    </r>
  </si>
  <si>
    <r>
      <t>V</t>
    </r>
    <r>
      <rPr>
        <vertAlign val="subscript"/>
        <sz val="11"/>
        <color theme="1"/>
        <rFont val="Aptos Narrow"/>
        <family val="2"/>
        <scheme val="minor"/>
      </rPr>
      <t>Approach</t>
    </r>
  </si>
  <si>
    <t>Loiter Altitude</t>
  </si>
  <si>
    <t>Cruise Altitude</t>
  </si>
  <si>
    <t>Max. Operating Altitude</t>
  </si>
  <si>
    <t>Power-Weight (P/W)</t>
  </si>
  <si>
    <t>W/g</t>
  </si>
  <si>
    <t>Target Range</t>
  </si>
  <si>
    <t>nmi</t>
  </si>
  <si>
    <t>Loiter Time</t>
  </si>
  <si>
    <t>min</t>
  </si>
  <si>
    <t>POWER/PROPULSION</t>
  </si>
  <si>
    <t>Battery Specific Energy</t>
  </si>
  <si>
    <t>Motor Power (Ideal)</t>
  </si>
  <si>
    <t>Motor Power (Full)</t>
  </si>
  <si>
    <t>RPM</t>
  </si>
  <si>
    <t>Motor Mass</t>
  </si>
  <si>
    <t>System Efficiency</t>
  </si>
  <si>
    <t>Propeller Efficiency</t>
  </si>
  <si>
    <t>Propeller Diameter</t>
  </si>
  <si>
    <t>STABILITY&amp;CONTROL</t>
  </si>
  <si>
    <r>
      <t>Yawing Moment of Inertia (I</t>
    </r>
    <r>
      <rPr>
        <vertAlign val="subscript"/>
        <sz val="11"/>
        <color theme="1"/>
        <rFont val="Aptos Narrow"/>
        <family val="2"/>
        <scheme val="minor"/>
      </rPr>
      <t>yaw</t>
    </r>
    <r>
      <rPr>
        <sz val="11"/>
        <color theme="1"/>
        <rFont val="Aptos Narrow"/>
        <family val="2"/>
        <scheme val="minor"/>
      </rPr>
      <t>)</t>
    </r>
  </si>
  <si>
    <t>STRUCTURE &amp; AIRFRAME</t>
  </si>
  <si>
    <t>Safety Factor</t>
  </si>
  <si>
    <t>Max. Manuevering Load Factor</t>
  </si>
  <si>
    <t>Min. Manuevering Load Factor</t>
  </si>
  <si>
    <t>Length from Engine Front to Cockpit-Total If Multi Engine</t>
  </si>
  <si>
    <r>
      <t>Wing Loading (W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>/S)</t>
    </r>
  </si>
  <si>
    <r>
      <t>lb/ft</t>
    </r>
    <r>
      <rPr>
        <vertAlign val="superscript"/>
        <sz val="11"/>
        <color theme="1"/>
        <rFont val="Aptos Narrow"/>
        <family val="2"/>
        <scheme val="minor"/>
      </rPr>
      <t>2</t>
    </r>
  </si>
  <si>
    <t>Structural Fuselage Length (-Radome &amp; Tail Cap)</t>
  </si>
  <si>
    <t>Total Fuselage Length</t>
  </si>
  <si>
    <t>Tail Length; Wing Quarter MAC to Tail Quarter MAC</t>
  </si>
  <si>
    <t>Fuselage Width @ HTP Intersection</t>
  </si>
  <si>
    <t>Fuselage Wetted Area</t>
  </si>
  <si>
    <r>
      <t>Length (N</t>
    </r>
    <r>
      <rPr>
        <vertAlign val="subscript"/>
        <sz val="11"/>
        <color theme="1"/>
        <rFont val="Aptos Narrow"/>
        <family val="2"/>
        <scheme val="minor"/>
      </rPr>
      <t>Lt</t>
    </r>
    <r>
      <rPr>
        <sz val="11"/>
        <color theme="1"/>
        <rFont val="Aptos Narrow"/>
        <family val="2"/>
        <scheme val="minor"/>
      </rPr>
      <t>)</t>
    </r>
  </si>
  <si>
    <r>
      <t>Width (N</t>
    </r>
    <r>
      <rPr>
        <vertAlign val="subscript"/>
        <sz val="11"/>
        <color theme="1"/>
        <rFont val="Aptos Narrow"/>
        <family val="2"/>
        <scheme val="minor"/>
      </rPr>
      <t>w</t>
    </r>
    <r>
      <rPr>
        <sz val="11"/>
        <color theme="1"/>
        <rFont val="Aptos Narrow"/>
        <family val="2"/>
        <scheme val="minor"/>
      </rPr>
      <t>)</t>
    </r>
  </si>
  <si>
    <t>Wetted Area</t>
  </si>
  <si>
    <t>CONSTANTS/OTHERS</t>
  </si>
  <si>
    <t>Gravity (g)</t>
  </si>
  <si>
    <r>
      <rPr>
        <b/>
        <i/>
        <sz val="20"/>
        <color rgb="FFFFC000"/>
        <rFont val="Aptos Narrow"/>
        <family val="2"/>
        <scheme val="minor"/>
      </rPr>
      <t>⚖️</t>
    </r>
    <r>
      <rPr>
        <b/>
        <i/>
        <sz val="20"/>
        <color theme="1"/>
        <rFont val="Aptos Narrow"/>
        <family val="2"/>
        <scheme val="minor"/>
      </rPr>
      <t>WEIGHTS</t>
    </r>
    <r>
      <rPr>
        <b/>
        <i/>
        <sz val="20"/>
        <color rgb="FFFFC000"/>
        <rFont val="Aptos Narrow"/>
        <family val="2"/>
        <scheme val="minor"/>
      </rPr>
      <t>⚖️</t>
    </r>
  </si>
  <si>
    <t>Based on Raymer Chapter 15</t>
  </si>
  <si>
    <t>Note</t>
  </si>
  <si>
    <t>WEIGHTS</t>
  </si>
  <si>
    <t>Wdg</t>
  </si>
  <si>
    <t>Flight Design Gross Weight</t>
  </si>
  <si>
    <t>Nz</t>
  </si>
  <si>
    <t>Ultimate Load Factor</t>
  </si>
  <si>
    <t>Sw</t>
  </si>
  <si>
    <t>Wing Area</t>
  </si>
  <si>
    <t>Scsw</t>
  </si>
  <si>
    <t>Wing Control Surface Area</t>
  </si>
  <si>
    <t>Aspect Ratio</t>
  </si>
  <si>
    <t>t/c</t>
  </si>
  <si>
    <t>Thickness-to-Chord Ratio</t>
  </si>
  <si>
    <t>λ</t>
  </si>
  <si>
    <t>Taper Ratio</t>
  </si>
  <si>
    <t>Λ</t>
  </si>
  <si>
    <t>Wing Sweep at 25% MAC</t>
  </si>
  <si>
    <t>Kuht</t>
  </si>
  <si>
    <t>All Moving Tail/Otherwise</t>
  </si>
  <si>
    <t>Fw</t>
  </si>
  <si>
    <t>Bh</t>
  </si>
  <si>
    <t>Horizontal Tail Span</t>
  </si>
  <si>
    <t>Sht</t>
  </si>
  <si>
    <t>Horizontal Tail Area</t>
  </si>
  <si>
    <t>Lt</t>
  </si>
  <si>
    <t>Λht</t>
  </si>
  <si>
    <t>Handling Gear</t>
  </si>
  <si>
    <t>ARh</t>
  </si>
  <si>
    <t>TOTAL</t>
  </si>
  <si>
    <t>Se</t>
  </si>
  <si>
    <t>Elevator Area</t>
  </si>
  <si>
    <t>Ht/Hv</t>
  </si>
  <si>
    <t>T-Tail/Otherwise</t>
  </si>
  <si>
    <t>Svt</t>
  </si>
  <si>
    <t>Vertical Tail Area</t>
  </si>
  <si>
    <t>Kz</t>
  </si>
  <si>
    <t>Aircraft Yawing Radius of Gyration</t>
  </si>
  <si>
    <t>Λvt</t>
  </si>
  <si>
    <t>ARv</t>
  </si>
  <si>
    <t>Kdoor</t>
  </si>
  <si>
    <t>Depends on how many cargo doors, cant make an excel code yet so manual input</t>
  </si>
  <si>
    <t>KLg</t>
  </si>
  <si>
    <t>Fuselage Mounted Gear/Otherwise</t>
  </si>
  <si>
    <t>L</t>
  </si>
  <si>
    <t>Structural Fuselage Length</t>
  </si>
  <si>
    <t>Sf</t>
  </si>
  <si>
    <t>Kws</t>
  </si>
  <si>
    <t>EQ</t>
  </si>
  <si>
    <t>Kmp</t>
  </si>
  <si>
    <t>Kneeling Gear/Otherwise</t>
  </si>
  <si>
    <t>Wl</t>
  </si>
  <si>
    <t>Landing Design Gross Weight</t>
  </si>
  <si>
    <t>Nl</t>
  </si>
  <si>
    <t>Ultimate Landing Load Factor</t>
  </si>
  <si>
    <t>Lm</t>
  </si>
  <si>
    <t>Extended Length of MLG</t>
  </si>
  <si>
    <t>Nmw</t>
  </si>
  <si>
    <t>Number of MLG Wheels</t>
  </si>
  <si>
    <t>Nmss</t>
  </si>
  <si>
    <t>Number of MLG Shock Struts</t>
  </si>
  <si>
    <t>Vstall</t>
  </si>
  <si>
    <t>Stall Velocity</t>
  </si>
  <si>
    <t>Knp</t>
  </si>
  <si>
    <t>Ln</t>
  </si>
  <si>
    <t>Extended NLG Length</t>
  </si>
  <si>
    <t>Nnw</t>
  </si>
  <si>
    <t>Number of NLG Wheels</t>
  </si>
  <si>
    <t>Kng</t>
  </si>
  <si>
    <t>Pylon-Mounted/Otherwise</t>
  </si>
  <si>
    <t>NLt</t>
  </si>
  <si>
    <t>Nacelle Length</t>
  </si>
  <si>
    <t>Nw</t>
  </si>
  <si>
    <t>Nacelle Width</t>
  </si>
  <si>
    <t>KP</t>
  </si>
  <si>
    <t>Propeller/Otherwise</t>
  </si>
  <si>
    <t>Ktr</t>
  </si>
  <si>
    <t>Jet with Thrust reverser/Otherwise</t>
  </si>
  <si>
    <t>Wec</t>
  </si>
  <si>
    <t>Weight of Engine and Contents</t>
  </si>
  <si>
    <t>Nen</t>
  </si>
  <si>
    <t>Sn</t>
  </si>
  <si>
    <t>Nacelle Wetted Area</t>
  </si>
  <si>
    <t>Lec</t>
  </si>
  <si>
    <t>Length from Engine Front to Cockpit</t>
  </si>
  <si>
    <t>Pneumatic</t>
  </si>
  <si>
    <t>Wen</t>
  </si>
  <si>
    <t>Engine Mass</t>
  </si>
  <si>
    <t>Nf</t>
  </si>
  <si>
    <t>Number of Functions Performed by Controls (Typically 4-7)</t>
  </si>
  <si>
    <t>Nm</t>
  </si>
  <si>
    <t>Number of Mechanical Functions (Typically 0-2)</t>
  </si>
  <si>
    <t>Scs</t>
  </si>
  <si>
    <t>Total Area of Control Surfaces</t>
  </si>
  <si>
    <t>Iyaw</t>
  </si>
  <si>
    <t>Yawing Moment of Intertia Based on Raymer Ch 16</t>
  </si>
  <si>
    <t>WAPU Uninstalled</t>
  </si>
  <si>
    <t>APU Mass Uninstalled</t>
  </si>
  <si>
    <t>Instuments</t>
  </si>
  <si>
    <t>Kr</t>
  </si>
  <si>
    <t>Reciprocating Engines/Otherwise</t>
  </si>
  <si>
    <t>Ktp</t>
  </si>
  <si>
    <t>Turboprop/Otherwise</t>
  </si>
  <si>
    <t>Nc</t>
  </si>
  <si>
    <t>Lf</t>
  </si>
  <si>
    <t>Bw</t>
  </si>
  <si>
    <t>Wing Span</t>
  </si>
  <si>
    <t>Rkva</t>
  </si>
  <si>
    <t>System Electrical Rating (Typically 40-60 for Transport)</t>
  </si>
  <si>
    <t>La</t>
  </si>
  <si>
    <t>Electrical Routing Distance</t>
  </si>
  <si>
    <t>Ngen</t>
  </si>
  <si>
    <t>Number of Generators (Typically Equal to #of Engines)</t>
  </si>
  <si>
    <t>Wuav</t>
  </si>
  <si>
    <t>RFP by (Typically 800-1400)</t>
  </si>
  <si>
    <t>Wc</t>
  </si>
  <si>
    <t>Max Cargo Mass</t>
  </si>
  <si>
    <t>Np</t>
  </si>
  <si>
    <t>Number of Personnel Onboard</t>
  </si>
  <si>
    <t>Vpr</t>
  </si>
  <si>
    <t>Uninstalled Avionics Mass</t>
  </si>
  <si>
    <t>Function of Power Loading</t>
  </si>
  <si>
    <t>Goal Seek Button</t>
  </si>
  <si>
    <t>*Substitute</t>
  </si>
  <si>
    <r>
      <rPr>
        <i/>
        <sz val="11"/>
        <color theme="1"/>
        <rFont val="Aptos Narrow"/>
        <family val="2"/>
        <scheme val="minor"/>
      </rPr>
      <t>Total Mass</t>
    </r>
    <r>
      <rPr>
        <i/>
        <u/>
        <sz val="11"/>
        <color theme="1"/>
        <rFont val="Aptos Narrow"/>
        <family val="2"/>
        <scheme val="minor"/>
      </rPr>
      <t xml:space="preserve"> (Place an Initial Value)</t>
    </r>
  </si>
  <si>
    <t>NEEDS ATTENTION</t>
  </si>
  <si>
    <t>NOT IN USE</t>
  </si>
  <si>
    <t>~Darian009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</si>
</sst>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3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b/>
      <i/>
      <sz val="20"/>
      <color rgb="FFFFC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i/>
      <sz val="28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i/>
      <sz val="28"/>
      <color rgb="FFFF000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vertAlign val="subscript"/>
      <sz val="16"/>
      <color theme="1"/>
      <name val="Aptos Narrow"/>
      <family val="2"/>
      <scheme val="minor"/>
    </font>
    <font>
      <b/>
      <vertAlign val="superscript"/>
      <sz val="16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i/>
      <sz val="28"/>
      <color rgb="FF000000"/>
      <name val="Aptos Narrow"/>
      <family val="2"/>
      <scheme val="minor"/>
    </font>
    <font>
      <b/>
      <sz val="2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9999"/>
        <bgColor rgb="FF999999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theme="7" tint="0.59999389629810485"/>
        <bgColor rgb="FFFFFF00"/>
      </patternFill>
    </fill>
    <fill>
      <patternFill patternType="solid">
        <fgColor theme="7" tint="0.59999389629810485"/>
        <bgColor rgb="FFFFFFFF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7" fillId="0" borderId="0"/>
  </cellStyleXfs>
  <cellXfs count="164">
    <xf numFmtId="0" fontId="0" fillId="0" borderId="0" xfId="0"/>
    <xf numFmtId="0" fontId="1" fillId="0" borderId="0" xfId="0" applyFont="1"/>
    <xf numFmtId="0" fontId="0" fillId="0" borderId="1" xfId="0" applyBorder="1"/>
    <xf numFmtId="2" fontId="0" fillId="0" borderId="0" xfId="0" applyNumberFormat="1"/>
    <xf numFmtId="0" fontId="0" fillId="2" borderId="0" xfId="0" applyFill="1"/>
    <xf numFmtId="2" fontId="0" fillId="0" borderId="1" xfId="0" applyNumberFormat="1" applyBorder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2" fontId="0" fillId="0" borderId="5" xfId="0" applyNumberFormat="1" applyBorder="1"/>
    <xf numFmtId="0" fontId="0" fillId="0" borderId="6" xfId="0" applyBorder="1"/>
    <xf numFmtId="0" fontId="9" fillId="0" borderId="0" xfId="0" applyFont="1"/>
    <xf numFmtId="2" fontId="0" fillId="0" borderId="7" xfId="0" applyNumberFormat="1" applyBorder="1"/>
    <xf numFmtId="2" fontId="0" fillId="0" borderId="10" xfId="0" applyNumberFormat="1" applyBorder="1"/>
    <xf numFmtId="0" fontId="0" fillId="0" borderId="7" xfId="0" applyBorder="1"/>
    <xf numFmtId="0" fontId="0" fillId="0" borderId="12" xfId="0" applyBorder="1"/>
    <xf numFmtId="0" fontId="11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1" xfId="0" applyBorder="1"/>
    <xf numFmtId="0" fontId="9" fillId="0" borderId="4" xfId="0" applyFont="1" applyBorder="1" applyAlignment="1">
      <alignment horizontal="center"/>
    </xf>
    <xf numFmtId="0" fontId="9" fillId="0" borderId="5" xfId="0" applyFont="1" applyBorder="1"/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6" borderId="12" xfId="0" applyFill="1" applyBorder="1"/>
    <xf numFmtId="0" fontId="0" fillId="2" borderId="12" xfId="0" applyFill="1" applyBorder="1"/>
    <xf numFmtId="0" fontId="12" fillId="6" borderId="13" xfId="0" applyFont="1" applyFill="1" applyBorder="1" applyAlignment="1">
      <alignment horizontal="center"/>
    </xf>
    <xf numFmtId="0" fontId="0" fillId="6" borderId="0" xfId="0" applyFill="1"/>
    <xf numFmtId="0" fontId="0" fillId="12" borderId="0" xfId="0" applyFill="1"/>
    <xf numFmtId="2" fontId="0" fillId="12" borderId="0" xfId="0" applyNumberFormat="1" applyFill="1"/>
    <xf numFmtId="0" fontId="0" fillId="13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12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0" fillId="0" borderId="16" xfId="0" applyBorder="1"/>
    <xf numFmtId="0" fontId="0" fillId="15" borderId="0" xfId="0" applyFill="1"/>
    <xf numFmtId="0" fontId="15" fillId="0" borderId="0" xfId="0" applyFont="1" applyAlignment="1">
      <alignment vertical="center"/>
    </xf>
    <xf numFmtId="0" fontId="17" fillId="6" borderId="1" xfId="0" applyFont="1" applyFill="1" applyBorder="1"/>
    <xf numFmtId="2" fontId="17" fillId="6" borderId="1" xfId="0" applyNumberFormat="1" applyFont="1" applyFill="1" applyBorder="1"/>
    <xf numFmtId="0" fontId="14" fillId="0" borderId="1" xfId="0" applyFont="1" applyBorder="1"/>
    <xf numFmtId="2" fontId="12" fillId="0" borderId="1" xfId="0" applyNumberFormat="1" applyFont="1" applyBorder="1"/>
    <xf numFmtId="0" fontId="12" fillId="0" borderId="1" xfId="0" applyFont="1" applyBorder="1"/>
    <xf numFmtId="0" fontId="17" fillId="3" borderId="0" xfId="0" applyFont="1" applyFill="1"/>
    <xf numFmtId="0" fontId="17" fillId="0" borderId="0" xfId="0" applyFont="1"/>
    <xf numFmtId="0" fontId="17" fillId="4" borderId="0" xfId="0" applyFont="1" applyFill="1"/>
    <xf numFmtId="0" fontId="0" fillId="12" borderId="12" xfId="0" applyFill="1" applyBorder="1"/>
    <xf numFmtId="2" fontId="12" fillId="0" borderId="14" xfId="0" applyNumberFormat="1" applyFont="1" applyBorder="1"/>
    <xf numFmtId="0" fontId="12" fillId="0" borderId="15" xfId="0" applyFont="1" applyBorder="1"/>
    <xf numFmtId="2" fontId="0" fillId="13" borderId="0" xfId="0" applyNumberFormat="1" applyFill="1"/>
    <xf numFmtId="0" fontId="1" fillId="14" borderId="0" xfId="0" applyFont="1" applyFill="1"/>
    <xf numFmtId="0" fontId="1" fillId="14" borderId="0" xfId="0" applyFont="1" applyFill="1" applyAlignment="1">
      <alignment vertical="center"/>
    </xf>
    <xf numFmtId="165" fontId="0" fillId="0" borderId="1" xfId="0" applyNumberFormat="1" applyBorder="1"/>
    <xf numFmtId="1" fontId="0" fillId="0" borderId="1" xfId="0" applyNumberFormat="1" applyBorder="1"/>
    <xf numFmtId="0" fontId="12" fillId="0" borderId="14" xfId="0" applyFont="1" applyBorder="1"/>
    <xf numFmtId="2" fontId="19" fillId="0" borderId="14" xfId="0" applyNumberFormat="1" applyFont="1" applyBorder="1"/>
    <xf numFmtId="0" fontId="19" fillId="0" borderId="15" xfId="0" applyFont="1" applyBorder="1"/>
    <xf numFmtId="0" fontId="12" fillId="0" borderId="0" xfId="0" applyFont="1"/>
    <xf numFmtId="0" fontId="19" fillId="0" borderId="14" xfId="0" applyFont="1" applyBorder="1"/>
    <xf numFmtId="0" fontId="12" fillId="16" borderId="0" xfId="0" applyFont="1" applyFill="1"/>
    <xf numFmtId="2" fontId="12" fillId="16" borderId="0" xfId="0" applyNumberFormat="1" applyFont="1" applyFill="1"/>
    <xf numFmtId="0" fontId="0" fillId="14" borderId="0" xfId="0" applyFill="1"/>
    <xf numFmtId="0" fontId="22" fillId="0" borderId="0" xfId="0" applyFont="1"/>
    <xf numFmtId="2" fontId="1" fillId="14" borderId="0" xfId="0" applyNumberFormat="1" applyFont="1" applyFill="1" applyAlignment="1">
      <alignment vertical="center"/>
    </xf>
    <xf numFmtId="2" fontId="1" fillId="14" borderId="0" xfId="0" applyNumberFormat="1" applyFont="1" applyFill="1"/>
    <xf numFmtId="0" fontId="0" fillId="13" borderId="0" xfId="0" applyFill="1" applyAlignment="1">
      <alignment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5" fillId="0" borderId="0" xfId="0" applyFont="1"/>
    <xf numFmtId="0" fontId="27" fillId="0" borderId="0" xfId="1"/>
    <xf numFmtId="0" fontId="1" fillId="0" borderId="0" xfId="1" applyFont="1"/>
    <xf numFmtId="2" fontId="1" fillId="0" borderId="0" xfId="1" applyNumberFormat="1" applyFont="1"/>
    <xf numFmtId="0" fontId="26" fillId="0" borderId="0" xfId="1" applyFont="1"/>
    <xf numFmtId="0" fontId="28" fillId="0" borderId="0" xfId="1" applyFont="1"/>
    <xf numFmtId="164" fontId="26" fillId="0" borderId="0" xfId="1" applyNumberFormat="1" applyFont="1"/>
    <xf numFmtId="164" fontId="26" fillId="0" borderId="0" xfId="1" applyNumberFormat="1" applyFont="1" applyAlignment="1">
      <alignment horizontal="right"/>
    </xf>
    <xf numFmtId="2" fontId="26" fillId="0" borderId="0" xfId="1" applyNumberFormat="1" applyFont="1" applyAlignment="1">
      <alignment horizontal="right"/>
    </xf>
    <xf numFmtId="2" fontId="26" fillId="0" borderId="0" xfId="1" applyNumberFormat="1" applyFont="1"/>
    <xf numFmtId="164" fontId="26" fillId="19" borderId="0" xfId="1" applyNumberFormat="1" applyFont="1" applyFill="1" applyAlignment="1">
      <alignment horizontal="right"/>
    </xf>
    <xf numFmtId="11" fontId="26" fillId="0" borderId="0" xfId="1" applyNumberFormat="1" applyFont="1" applyAlignment="1">
      <alignment horizontal="right"/>
    </xf>
    <xf numFmtId="2" fontId="26" fillId="18" borderId="0" xfId="1" applyNumberFormat="1" applyFont="1" applyFill="1" applyAlignment="1">
      <alignment horizontal="right"/>
    </xf>
    <xf numFmtId="164" fontId="1" fillId="20" borderId="0" xfId="1" applyNumberFormat="1" applyFont="1" applyFill="1"/>
    <xf numFmtId="164" fontId="1" fillId="20" borderId="0" xfId="1" applyNumberFormat="1" applyFont="1" applyFill="1" applyAlignment="1">
      <alignment horizontal="right"/>
    </xf>
    <xf numFmtId="2" fontId="26" fillId="21" borderId="0" xfId="1" applyNumberFormat="1" applyFont="1" applyFill="1" applyAlignment="1">
      <alignment horizontal="right"/>
    </xf>
    <xf numFmtId="2" fontId="26" fillId="22" borderId="0" xfId="1" applyNumberFormat="1" applyFont="1" applyFill="1" applyAlignment="1">
      <alignment horizontal="right"/>
    </xf>
    <xf numFmtId="2" fontId="26" fillId="12" borderId="0" xfId="1" applyNumberFormat="1" applyFont="1" applyFill="1" applyAlignment="1">
      <alignment horizontal="right"/>
    </xf>
    <xf numFmtId="11" fontId="26" fillId="12" borderId="0" xfId="1" applyNumberFormat="1" applyFont="1" applyFill="1" applyAlignment="1">
      <alignment horizontal="right"/>
    </xf>
    <xf numFmtId="2" fontId="26" fillId="2" borderId="0" xfId="1" applyNumberFormat="1" applyFont="1" applyFill="1" applyAlignment="1">
      <alignment horizontal="right"/>
    </xf>
    <xf numFmtId="164" fontId="0" fillId="12" borderId="0" xfId="0" applyNumberFormat="1" applyFill="1"/>
    <xf numFmtId="164" fontId="0" fillId="12" borderId="0" xfId="0" applyNumberFormat="1" applyFill="1" applyAlignment="1">
      <alignment horizontal="right"/>
    </xf>
    <xf numFmtId="0" fontId="19" fillId="0" borderId="13" xfId="0" applyFont="1" applyBorder="1" applyAlignment="1">
      <alignment wrapText="1"/>
    </xf>
    <xf numFmtId="0" fontId="12" fillId="0" borderId="13" xfId="0" applyFont="1" applyBorder="1" applyAlignment="1">
      <alignment wrapText="1"/>
    </xf>
    <xf numFmtId="166" fontId="0" fillId="12" borderId="0" xfId="0" applyNumberFormat="1" applyFill="1"/>
    <xf numFmtId="2" fontId="0" fillId="2" borderId="0" xfId="0" applyNumberFormat="1" applyFill="1"/>
    <xf numFmtId="0" fontId="0" fillId="0" borderId="0" xfId="0" applyAlignment="1">
      <alignment horizontal="right"/>
    </xf>
    <xf numFmtId="0" fontId="1" fillId="0" borderId="2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" fillId="14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3" borderId="0" xfId="0" applyFill="1" applyAlignment="1">
      <alignment horizontal="right" vertical="center"/>
    </xf>
    <xf numFmtId="0" fontId="0" fillId="1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2" fontId="0" fillId="12" borderId="0" xfId="0" applyNumberFormat="1" applyFill="1" applyAlignment="1">
      <alignment horizontal="right" vertical="center"/>
    </xf>
    <xf numFmtId="0" fontId="0" fillId="14" borderId="0" xfId="0" applyFill="1" applyAlignment="1">
      <alignment horizontal="center"/>
    </xf>
    <xf numFmtId="0" fontId="23" fillId="0" borderId="3" xfId="0" applyFont="1" applyBorder="1" applyAlignment="1">
      <alignment horizontal="left" vertical="center"/>
    </xf>
    <xf numFmtId="0" fontId="23" fillId="0" borderId="5" xfId="0" applyFont="1" applyBorder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2" fontId="23" fillId="0" borderId="0" xfId="0" applyNumberFormat="1" applyFont="1" applyAlignment="1">
      <alignment horizontal="right" vertical="center"/>
    </xf>
    <xf numFmtId="2" fontId="23" fillId="0" borderId="12" xfId="0" applyNumberFormat="1" applyFont="1" applyBorder="1" applyAlignment="1">
      <alignment horizontal="right" vertical="center"/>
    </xf>
    <xf numFmtId="0" fontId="23" fillId="0" borderId="16" xfId="0" applyFont="1" applyBorder="1" applyAlignment="1">
      <alignment horizontal="right" vertical="center"/>
    </xf>
    <xf numFmtId="0" fontId="23" fillId="0" borderId="0" xfId="0" applyFont="1" applyAlignment="1">
      <alignment horizontal="right" vertical="center"/>
    </xf>
    <xf numFmtId="2" fontId="23" fillId="0" borderId="16" xfId="0" applyNumberFormat="1" applyFont="1" applyBorder="1" applyAlignment="1">
      <alignment horizontal="right" vertical="center"/>
    </xf>
    <xf numFmtId="0" fontId="15" fillId="0" borderId="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" fillId="17" borderId="0" xfId="1" applyFont="1" applyFill="1" applyAlignment="1">
      <alignment horizontal="center"/>
    </xf>
    <xf numFmtId="0" fontId="28" fillId="0" borderId="0" xfId="1" applyFont="1"/>
    <xf numFmtId="164" fontId="1" fillId="17" borderId="0" xfId="1" applyNumberFormat="1" applyFont="1" applyFill="1" applyAlignment="1">
      <alignment horizontal="center"/>
    </xf>
    <xf numFmtId="0" fontId="29" fillId="0" borderId="0" xfId="1" applyFont="1" applyAlignment="1">
      <alignment horizontal="center" vertical="center"/>
    </xf>
    <xf numFmtId="0" fontId="12" fillId="10" borderId="13" xfId="0" applyFont="1" applyFill="1" applyBorder="1" applyAlignment="1">
      <alignment horizontal="center"/>
    </xf>
    <xf numFmtId="0" fontId="12" fillId="10" borderId="14" xfId="0" applyFont="1" applyFill="1" applyBorder="1" applyAlignment="1">
      <alignment horizontal="center"/>
    </xf>
    <xf numFmtId="0" fontId="12" fillId="10" borderId="15" xfId="0" applyFont="1" applyFill="1" applyBorder="1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12" fillId="11" borderId="15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2" fillId="2" borderId="14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7" borderId="13" xfId="0" applyFont="1" applyFill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0" fontId="12" fillId="7" borderId="15" xfId="0" applyFont="1" applyFill="1" applyBorder="1" applyAlignment="1">
      <alignment horizontal="center"/>
    </xf>
    <xf numFmtId="0" fontId="12" fillId="8" borderId="13" xfId="0" applyFont="1" applyFill="1" applyBorder="1" applyAlignment="1">
      <alignment horizontal="center"/>
    </xf>
    <xf numFmtId="0" fontId="12" fillId="8" borderId="14" xfId="0" applyFont="1" applyFill="1" applyBorder="1" applyAlignment="1">
      <alignment horizontal="center"/>
    </xf>
    <xf numFmtId="0" fontId="12" fillId="8" borderId="15" xfId="0" applyFont="1" applyFill="1" applyBorder="1" applyAlignment="1">
      <alignment horizontal="center"/>
    </xf>
    <xf numFmtId="0" fontId="12" fillId="9" borderId="13" xfId="0" applyFont="1" applyFill="1" applyBorder="1" applyAlignment="1">
      <alignment horizontal="center"/>
    </xf>
    <xf numFmtId="0" fontId="12" fillId="9" borderId="14" xfId="0" applyFont="1" applyFill="1" applyBorder="1" applyAlignment="1">
      <alignment horizontal="center"/>
    </xf>
    <xf numFmtId="0" fontId="12" fillId="9" borderId="15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</cellXfs>
  <cellStyles count="2">
    <cellStyle name="Normal" xfId="0" builtinId="0"/>
    <cellStyle name="Normal 2" xfId="1" xr:uid="{1043C353-259C-4769-A01D-882A0A92B497}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Mission Profile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MP</c:v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Sizing!$D$31:$D$36</c:f>
              <c:numCache>
                <c:formatCode>General</c:formatCode>
                <c:ptCount val="6"/>
                <c:pt idx="0">
                  <c:v>0</c:v>
                </c:pt>
                <c:pt idx="1">
                  <c:v>25000</c:v>
                </c:pt>
                <c:pt idx="2">
                  <c:v>25000</c:v>
                </c:pt>
                <c:pt idx="3">
                  <c:v>5000</c:v>
                </c:pt>
                <c:pt idx="4">
                  <c:v>5000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C1-483F-B678-82D584ABA7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103370064"/>
        <c:axId val="1103370544"/>
      </c:lineChart>
      <c:catAx>
        <c:axId val="1103370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Phase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3370544"/>
        <c:crosses val="autoZero"/>
        <c:auto val="1"/>
        <c:lblAlgn val="ctr"/>
        <c:lblOffset val="100"/>
        <c:noMultiLvlLbl val="0"/>
      </c:catAx>
      <c:valAx>
        <c:axId val="1103370544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Altitude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crossAx val="110337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G$36" lockText="1" noThreeD="1"/>
</file>

<file path=xl/ctrlProps/ctrlProp3.xml><?xml version="1.0" encoding="utf-8"?>
<formControlPr xmlns="http://schemas.microsoft.com/office/spreadsheetml/2009/9/main" objectType="CheckBox" fmlaLink="$K$34" lockText="1" noThreeD="1"/>
</file>

<file path=xl/ctrlProps/ctrlProp4.xml><?xml version="1.0" encoding="utf-8"?>
<formControlPr xmlns="http://schemas.microsoft.com/office/spreadsheetml/2009/9/main" objectType="CheckBox" fmlaLink="$G$46" lockText="1" noThreeD="1"/>
</file>

<file path=xl/ctrlProps/ctrlProp5.xml><?xml version="1.0" encoding="utf-8"?>
<formControlPr xmlns="http://schemas.microsoft.com/office/spreadsheetml/2009/9/main" objectType="CheckBox" fmlaLink="$G$45" lockText="1" noThreeD="1"/>
</file>

<file path=xl/ctrlProps/ctrlProp6.xml><?xml version="1.0" encoding="utf-8"?>
<formControlPr xmlns="http://schemas.microsoft.com/office/spreadsheetml/2009/9/main" objectType="CheckBox" checked="Checked" fmlaLink="$G$47" lockText="1" noThreeD="1"/>
</file>

<file path=xl/ctrlProps/ctrlProp7.xml><?xml version="1.0" encoding="utf-8"?>
<formControlPr xmlns="http://schemas.microsoft.com/office/spreadsheetml/2009/9/main" objectType="CheckBox" fmlaLink="$G$25" lockText="1" noThreeD="1"/>
</file>

<file path=xl/ctrlProps/ctrlProp8.xml><?xml version="1.0" encoding="utf-8"?>
<formControlPr xmlns="http://schemas.microsoft.com/office/spreadsheetml/2009/9/main" objectType="CheckBox" checked="Checked" fmlaLink="$K$24" lockText="1" noThreeD="1"/>
</file>

<file path=xl/ctrlProps/ctrlProp9.xml><?xml version="1.0" encoding="utf-8"?>
<formControlPr xmlns="http://schemas.microsoft.com/office/spreadsheetml/2009/9/main" objectType="CheckBox" fmlaLink="$G$37" lockText="1" noThreeD="1"/>
</file>

<file path=xl/ctrlProps/ctrlProp10.xml><?xml version="1.0" encoding="utf-8"?>
<formControlPr xmlns="http://schemas.microsoft.com/office/spreadsheetml/2009/9/main" objectType="CheckBox" checked="Checked" fmlaLink="$G$48" lockText="1" noThreeD="1"/>
</file>

<file path=xl/ctrlProps/ctrlProp11.xml><?xml version="1.0" encoding="utf-8"?>
<formControlPr xmlns="http://schemas.microsoft.com/office/spreadsheetml/2009/9/main" objectType="CheckBox" fmlaLink="$C$45" lockText="1" noThreeD="1"/>
</file>

<file path=xl/ctrlProps/ctrlProp12.xml><?xml version="1.0" encoding="utf-8"?>
<formControlPr xmlns="http://schemas.microsoft.com/office/spreadsheetml/2009/9/main" objectType="CheckBox" fmlaLink="$C$31" lockText="1" noThreeD="1"/>
</file>

<file path=xl/ctrlProps/ctrlProp13.xml><?xml version="1.0" encoding="utf-8"?>
<formControlPr xmlns="http://schemas.microsoft.com/office/spreadsheetml/2009/9/main" objectType="CheckBox" checked="Checked" fmlaLink="$C$40" lockText="1" noThreeD="1"/>
</file>

<file path=xl/ctrlProps/ctrlProp14.xml><?xml version="1.0" encoding="utf-8"?>
<formControlPr xmlns="http://schemas.microsoft.com/office/spreadsheetml/2009/9/main" objectType="CheckBox" fmlaLink="$C$53" lockText="1" noThreeD="1"/>
</file>

<file path=xl/ctrlProps/ctrlProp15.xml><?xml version="1.0" encoding="utf-8"?>
<formControlPr xmlns="http://schemas.microsoft.com/office/spreadsheetml/2009/9/main" objectType="CheckBox" fmlaLink="$C$61" lockText="1" noThreeD="1"/>
</file>

<file path=xl/ctrlProps/ctrlProp16.xml><?xml version="1.0" encoding="utf-8"?>
<formControlPr xmlns="http://schemas.microsoft.com/office/spreadsheetml/2009/9/main" objectType="CheckBox" fmlaLink="$C$65" lockText="1" noThreeD="1"/>
</file>

<file path=xl/ctrlProps/ctrlProp17.xml><?xml version="1.0" encoding="utf-8"?>
<formControlPr xmlns="http://schemas.microsoft.com/office/spreadsheetml/2009/9/main" objectType="CheckBox" fmlaLink="$C$112" lockText="1" noThreeD="1"/>
</file>

<file path=xl/ctrlProps/ctrlProp18.xml><?xml version="1.0" encoding="utf-8"?>
<formControlPr xmlns="http://schemas.microsoft.com/office/spreadsheetml/2009/9/main" objectType="CheckBox" fmlaLink="$C$89" lockText="1" noThreeD="1"/>
</file>

<file path=xl/ctrlProps/ctrlProp19.xml><?xml version="1.0" encoding="utf-8"?>
<formControlPr xmlns="http://schemas.microsoft.com/office/spreadsheetml/2009/9/main" objectType="CheckBox" checked="Checked" fmlaLink="$C$91" lockText="1" noThreeD="1"/>
</file>

<file path=xl/ctrlProps/ctrlProp20.xml><?xml version="1.0" encoding="utf-8"?>
<formControlPr xmlns="http://schemas.microsoft.com/office/spreadsheetml/2009/9/main" objectType="CheckBox" fmlaLink="$C$90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569324</xdr:colOff>
      <xdr:row>6</xdr:row>
      <xdr:rowOff>60688</xdr:rowOff>
    </xdr:from>
    <xdr:to>
      <xdr:col>18</xdr:col>
      <xdr:colOff>602525</xdr:colOff>
      <xdr:row>26</xdr:row>
      <xdr:rowOff>155484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264523</xdr:colOff>
      <xdr:row>39</xdr:row>
      <xdr:rowOff>103777</xdr:rowOff>
    </xdr:from>
    <xdr:to>
      <xdr:col>8</xdr:col>
      <xdr:colOff>1079863</xdr:colOff>
      <xdr:row>42</xdr:row>
      <xdr:rowOff>97608</xdr:rowOff>
    </xdr:to>
    <xdr:sp macro="" textlink="">
      <xdr:nvSpPr>
        <xdr:cNvPr id="2" name="Arrow: Notched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796452" y="7596777"/>
          <a:ext cx="815340" cy="538117"/>
        </a:xfrm>
        <a:prstGeom prst="notched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1371600</xdr:colOff>
          <xdr:row>18</xdr:row>
          <xdr:rowOff>0</xdr:rowOff>
        </xdr:from>
        <xdr:to>
          <xdr:col>9</xdr:col>
          <xdr:colOff>205740</xdr:colOff>
          <xdr:row>21</xdr:row>
          <xdr:rowOff>160020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D" sz="2000" b="1" i="0" u="none" strike="noStrike" baseline="0">
                  <a:solidFill>
                    <a:srgbClr val="000000"/>
                  </a:solidFill>
                  <a:latin typeface="Aptos Narrow"/>
                </a:rPr>
                <a:t>Goal Seek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34</xdr:row>
          <xdr:rowOff>182880</xdr:rowOff>
        </xdr:from>
        <xdr:to>
          <xdr:col>5</xdr:col>
          <xdr:colOff>426720</xdr:colOff>
          <xdr:row>36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32</xdr:row>
          <xdr:rowOff>182880</xdr:rowOff>
        </xdr:from>
        <xdr:to>
          <xdr:col>9</xdr:col>
          <xdr:colOff>426720</xdr:colOff>
          <xdr:row>34</xdr:row>
          <xdr:rowOff>22860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44</xdr:row>
          <xdr:rowOff>198120</xdr:rowOff>
        </xdr:from>
        <xdr:to>
          <xdr:col>5</xdr:col>
          <xdr:colOff>426720</xdr:colOff>
          <xdr:row>46</xdr:row>
          <xdr:rowOff>7620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44</xdr:row>
          <xdr:rowOff>7620</xdr:rowOff>
        </xdr:from>
        <xdr:to>
          <xdr:col>5</xdr:col>
          <xdr:colOff>426720</xdr:colOff>
          <xdr:row>45</xdr:row>
          <xdr:rowOff>60960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45</xdr:row>
          <xdr:rowOff>175260</xdr:rowOff>
        </xdr:from>
        <xdr:to>
          <xdr:col>5</xdr:col>
          <xdr:colOff>426720</xdr:colOff>
          <xdr:row>47</xdr:row>
          <xdr:rowOff>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205740</xdr:colOff>
          <xdr:row>23</xdr:row>
          <xdr:rowOff>182880</xdr:rowOff>
        </xdr:from>
        <xdr:to>
          <xdr:col>5</xdr:col>
          <xdr:colOff>944880</xdr:colOff>
          <xdr:row>25</xdr:row>
          <xdr:rowOff>22860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205740</xdr:colOff>
          <xdr:row>22</xdr:row>
          <xdr:rowOff>190500</xdr:rowOff>
        </xdr:from>
        <xdr:to>
          <xdr:col>9</xdr:col>
          <xdr:colOff>449580</xdr:colOff>
          <xdr:row>24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36</xdr:row>
          <xdr:rowOff>0</xdr:rowOff>
        </xdr:from>
        <xdr:to>
          <xdr:col>5</xdr:col>
          <xdr:colOff>426720</xdr:colOff>
          <xdr:row>37</xdr:row>
          <xdr:rowOff>45720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47</xdr:row>
          <xdr:rowOff>0</xdr:rowOff>
        </xdr:from>
        <xdr:to>
          <xdr:col>5</xdr:col>
          <xdr:colOff>426720</xdr:colOff>
          <xdr:row>48</xdr:row>
          <xdr:rowOff>45720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43</xdr:row>
          <xdr:rowOff>175260</xdr:rowOff>
        </xdr:from>
        <xdr:to>
          <xdr:col>1</xdr:col>
          <xdr:colOff>640080</xdr:colOff>
          <xdr:row>45</xdr:row>
          <xdr:rowOff>22860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205740</xdr:colOff>
          <xdr:row>29</xdr:row>
          <xdr:rowOff>182880</xdr:rowOff>
        </xdr:from>
        <xdr:to>
          <xdr:col>2</xdr:col>
          <xdr:colOff>335280</xdr:colOff>
          <xdr:row>31</xdr:row>
          <xdr:rowOff>30480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205740</xdr:colOff>
          <xdr:row>38</xdr:row>
          <xdr:rowOff>190500</xdr:rowOff>
        </xdr:from>
        <xdr:to>
          <xdr:col>1</xdr:col>
          <xdr:colOff>449580</xdr:colOff>
          <xdr:row>40</xdr:row>
          <xdr:rowOff>15240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52</xdr:row>
          <xdr:rowOff>0</xdr:rowOff>
        </xdr:from>
        <xdr:to>
          <xdr:col>1</xdr:col>
          <xdr:colOff>441960</xdr:colOff>
          <xdr:row>53</xdr:row>
          <xdr:rowOff>38100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59</xdr:row>
          <xdr:rowOff>182880</xdr:rowOff>
        </xdr:from>
        <xdr:to>
          <xdr:col>1</xdr:col>
          <xdr:colOff>426720</xdr:colOff>
          <xdr:row>61</xdr:row>
          <xdr:rowOff>22860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3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63</xdr:row>
          <xdr:rowOff>182880</xdr:rowOff>
        </xdr:from>
        <xdr:to>
          <xdr:col>1</xdr:col>
          <xdr:colOff>426720</xdr:colOff>
          <xdr:row>65</xdr:row>
          <xdr:rowOff>15240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3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111</xdr:row>
          <xdr:rowOff>0</xdr:rowOff>
        </xdr:from>
        <xdr:to>
          <xdr:col>1</xdr:col>
          <xdr:colOff>419100</xdr:colOff>
          <xdr:row>112</xdr:row>
          <xdr:rowOff>38100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3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167640</xdr:colOff>
          <xdr:row>87</xdr:row>
          <xdr:rowOff>175260</xdr:rowOff>
        </xdr:from>
        <xdr:to>
          <xdr:col>1</xdr:col>
          <xdr:colOff>411480</xdr:colOff>
          <xdr:row>89</xdr:row>
          <xdr:rowOff>30480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3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90</xdr:row>
          <xdr:rowOff>0</xdr:rowOff>
        </xdr:from>
        <xdr:to>
          <xdr:col>1</xdr:col>
          <xdr:colOff>403860</xdr:colOff>
          <xdr:row>91</xdr:row>
          <xdr:rowOff>30480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3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89</xdr:row>
          <xdr:rowOff>0</xdr:rowOff>
        </xdr:from>
        <xdr:to>
          <xdr:col>1</xdr:col>
          <xdr:colOff>403860</xdr:colOff>
          <xdr:row>90</xdr:row>
          <xdr:rowOff>38100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3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8674-3BAF-40F8-A2D4-C83C0212A4B6}">
  <sheetPr codeName="Sheet2"/>
  <dimension ref="A1:N67"/>
  <sheetViews>
    <sheetView tabSelected="1" topLeftCell="A26" zoomScale="70" zoomScaleNormal="70" workbookViewId="0">
      <selection activeCell="H43" sqref="H43"/>
    </sheetView>
  </sheetViews>
  <sheetFormatPr defaultRowHeight="14.4" x14ac:dyDescent="0.3"/>
  <cols>
    <col min="1" max="1" width="35.33203125" customWidth="1"/>
    <col min="2" max="2" width="15.33203125" customWidth="1"/>
    <col min="3" max="4" width="13.6640625" customWidth="1"/>
    <col min="5" max="5" width="21.6640625" customWidth="1"/>
    <col min="6" max="6" width="12.33203125" customWidth="1"/>
    <col min="7" max="7" width="24.6640625" customWidth="1"/>
    <col min="8" max="8" width="19.88671875" customWidth="1"/>
    <col min="9" max="9" width="18.33203125" customWidth="1"/>
    <col min="10" max="10" width="23.5546875" customWidth="1"/>
    <col min="11" max="11" width="10.109375" customWidth="1"/>
    <col min="12" max="12" width="19.88671875" customWidth="1"/>
    <col min="13" max="13" width="19.109375" customWidth="1"/>
    <col min="14" max="14" width="19.33203125" customWidth="1"/>
  </cols>
  <sheetData>
    <row r="1" spans="1:11" ht="14.4" customHeight="1" x14ac:dyDescent="0.3">
      <c r="A1" s="103" t="s">
        <v>0</v>
      </c>
      <c r="B1" s="103"/>
      <c r="C1" s="103"/>
      <c r="D1" s="106" t="s">
        <v>1</v>
      </c>
      <c r="E1" s="106"/>
      <c r="F1" s="106"/>
    </row>
    <row r="2" spans="1:11" ht="14.4" customHeight="1" x14ac:dyDescent="0.3">
      <c r="A2" s="103"/>
      <c r="B2" s="103"/>
      <c r="C2" s="103"/>
      <c r="D2" s="106"/>
      <c r="E2" s="106"/>
      <c r="F2" s="106"/>
    </row>
    <row r="3" spans="1:11" x14ac:dyDescent="0.3">
      <c r="A3" s="103"/>
      <c r="B3" s="103"/>
      <c r="C3" s="103"/>
      <c r="D3" s="106"/>
      <c r="E3" s="106"/>
      <c r="F3" s="106"/>
    </row>
    <row r="4" spans="1:11" x14ac:dyDescent="0.3">
      <c r="H4" s="1" t="s">
        <v>2</v>
      </c>
    </row>
    <row r="5" spans="1:11" ht="21" x14ac:dyDescent="0.4">
      <c r="A5" s="107" t="s">
        <v>3</v>
      </c>
      <c r="B5" s="107"/>
      <c r="C5" s="107"/>
      <c r="H5" s="34"/>
      <c r="I5" s="1" t="s">
        <v>4</v>
      </c>
      <c r="J5" s="48"/>
      <c r="K5" s="49" t="s">
        <v>5</v>
      </c>
    </row>
    <row r="6" spans="1:11" ht="28.8" x14ac:dyDescent="0.55000000000000004">
      <c r="A6" s="62" t="s">
        <v>6</v>
      </c>
      <c r="B6" s="64">
        <v>625</v>
      </c>
      <c r="C6" s="62" t="s">
        <v>7</v>
      </c>
      <c r="D6" s="71" t="s">
        <v>8</v>
      </c>
      <c r="E6" s="1" t="s">
        <v>9</v>
      </c>
      <c r="H6" s="32"/>
      <c r="I6" s="1" t="s">
        <v>10</v>
      </c>
      <c r="J6" s="50"/>
      <c r="K6" s="49" t="s">
        <v>11</v>
      </c>
    </row>
    <row r="7" spans="1:11" ht="28.8" x14ac:dyDescent="0.55000000000000004">
      <c r="A7" s="62" t="s">
        <v>12</v>
      </c>
      <c r="B7" s="65">
        <v>11</v>
      </c>
      <c r="C7" s="62" t="s">
        <v>13</v>
      </c>
      <c r="D7" s="71" t="s">
        <v>8</v>
      </c>
      <c r="E7" t="s">
        <v>14</v>
      </c>
      <c r="F7" s="34">
        <v>25000</v>
      </c>
      <c r="G7" t="s">
        <v>15</v>
      </c>
    </row>
    <row r="8" spans="1:11" ht="28.8" x14ac:dyDescent="0.55000000000000004">
      <c r="A8" s="62" t="s">
        <v>16</v>
      </c>
      <c r="B8" s="64">
        <v>66</v>
      </c>
      <c r="C8" s="62" t="s">
        <v>17</v>
      </c>
      <c r="D8" s="71" t="s">
        <v>8</v>
      </c>
      <c r="E8" t="s">
        <v>18</v>
      </c>
      <c r="F8" s="34">
        <v>5000</v>
      </c>
      <c r="G8" t="s">
        <v>15</v>
      </c>
      <c r="H8" s="1" t="s">
        <v>19</v>
      </c>
    </row>
    <row r="9" spans="1:11" ht="28.8" x14ac:dyDescent="0.55000000000000004">
      <c r="A9" s="62" t="s">
        <v>20</v>
      </c>
      <c r="B9" s="64">
        <v>0.2</v>
      </c>
      <c r="C9" s="62" t="s">
        <v>21</v>
      </c>
      <c r="D9" s="71" t="s">
        <v>8</v>
      </c>
      <c r="H9" s="36" t="s">
        <v>22</v>
      </c>
      <c r="I9" s="37">
        <f>'🚫'!$B$116</f>
        <v>9.81</v>
      </c>
      <c r="J9" s="38" t="s">
        <v>23</v>
      </c>
    </row>
    <row r="10" spans="1:11" x14ac:dyDescent="0.3">
      <c r="E10" s="1" t="s">
        <v>24</v>
      </c>
    </row>
    <row r="11" spans="1:11" x14ac:dyDescent="0.3">
      <c r="A11" s="1" t="s">
        <v>25</v>
      </c>
      <c r="E11" t="s">
        <v>14</v>
      </c>
      <c r="F11" s="34">
        <v>265</v>
      </c>
      <c r="G11" t="s">
        <v>26</v>
      </c>
      <c r="H11" s="1" t="s">
        <v>27</v>
      </c>
    </row>
    <row r="12" spans="1:11" ht="15.6" x14ac:dyDescent="0.35">
      <c r="A12" t="s">
        <v>28</v>
      </c>
      <c r="B12" s="34">
        <v>0.93</v>
      </c>
      <c r="C12" t="s">
        <v>13</v>
      </c>
      <c r="E12" t="s">
        <v>18</v>
      </c>
      <c r="F12" s="34">
        <v>160</v>
      </c>
      <c r="G12" t="s">
        <v>26</v>
      </c>
      <c r="H12" t="s">
        <v>29</v>
      </c>
      <c r="I12" s="93">
        <f>Drag!F16</f>
        <v>1.5902370504802293E-2</v>
      </c>
      <c r="J12" t="s">
        <v>13</v>
      </c>
    </row>
    <row r="13" spans="1:11" ht="15.6" x14ac:dyDescent="0.35">
      <c r="A13" t="s">
        <v>30</v>
      </c>
      <c r="B13" s="34">
        <v>0.88</v>
      </c>
      <c r="C13" t="s">
        <v>13</v>
      </c>
      <c r="H13" t="s">
        <v>31</v>
      </c>
      <c r="I13" s="94">
        <f>Drag!F17</f>
        <v>1.5328464502411569E-2</v>
      </c>
      <c r="J13" t="s">
        <v>13</v>
      </c>
    </row>
    <row r="14" spans="1:11" ht="15.6" x14ac:dyDescent="0.35">
      <c r="A14" t="s">
        <v>32</v>
      </c>
      <c r="B14" s="34">
        <v>640</v>
      </c>
      <c r="C14" t="s">
        <v>33</v>
      </c>
      <c r="E14" s="35" t="s">
        <v>34</v>
      </c>
      <c r="H14" t="s">
        <v>35</v>
      </c>
      <c r="I14" s="94">
        <f>Drag!B8</f>
        <v>0.61969846146594387</v>
      </c>
      <c r="J14" t="s">
        <v>13</v>
      </c>
    </row>
    <row r="15" spans="1:11" ht="15.6" x14ac:dyDescent="0.35">
      <c r="A15" t="s">
        <v>36</v>
      </c>
      <c r="B15" s="34">
        <v>4</v>
      </c>
      <c r="C15" t="s">
        <v>13</v>
      </c>
      <c r="E15" t="s">
        <v>37</v>
      </c>
      <c r="F15" s="34">
        <v>40</v>
      </c>
      <c r="G15" t="s">
        <v>13</v>
      </c>
      <c r="H15" t="s">
        <v>38</v>
      </c>
      <c r="I15" s="93">
        <f>1.78*(1-(0.045*(B7^0.68)))-0.64</f>
        <v>0.73094703780563675</v>
      </c>
      <c r="J15" t="s">
        <v>13</v>
      </c>
    </row>
    <row r="16" spans="1:11" x14ac:dyDescent="0.3">
      <c r="A16" t="s">
        <v>39</v>
      </c>
      <c r="B16" s="34">
        <f>B15*B14</f>
        <v>2560</v>
      </c>
      <c r="C16" t="s">
        <v>33</v>
      </c>
      <c r="E16" t="s">
        <v>40</v>
      </c>
      <c r="F16" s="34">
        <v>2</v>
      </c>
    </row>
    <row r="17" spans="1:14" x14ac:dyDescent="0.3">
      <c r="E17" t="s">
        <v>41</v>
      </c>
      <c r="F17" s="34">
        <v>2</v>
      </c>
    </row>
    <row r="18" spans="1:14" x14ac:dyDescent="0.3">
      <c r="A18" t="s">
        <v>42</v>
      </c>
      <c r="B18" s="97">
        <f>B9*(B41*1000)/1000</f>
        <v>7970.1669722994584</v>
      </c>
      <c r="C18" t="s">
        <v>33</v>
      </c>
      <c r="E18" t="s">
        <v>43</v>
      </c>
      <c r="F18" s="32">
        <f>SUM(F15:F17)</f>
        <v>44</v>
      </c>
      <c r="G18" t="s">
        <v>13</v>
      </c>
    </row>
    <row r="19" spans="1:14" x14ac:dyDescent="0.3">
      <c r="A19" t="s">
        <v>44</v>
      </c>
      <c r="B19" s="97">
        <f>B18/B14</f>
        <v>12.453385894217904</v>
      </c>
      <c r="C19" t="s">
        <v>13</v>
      </c>
    </row>
    <row r="21" spans="1:14" x14ac:dyDescent="0.3">
      <c r="F21" t="s">
        <v>45</v>
      </c>
    </row>
    <row r="29" spans="1:14" x14ac:dyDescent="0.3">
      <c r="A29" s="105" t="s">
        <v>46</v>
      </c>
      <c r="B29" s="105" t="s">
        <v>47</v>
      </c>
      <c r="C29" s="104" t="s">
        <v>48</v>
      </c>
      <c r="D29" s="104"/>
      <c r="E29" s="2"/>
      <c r="F29" s="2"/>
      <c r="G29" s="101"/>
      <c r="H29" s="102"/>
      <c r="I29" s="2"/>
      <c r="J29" s="2"/>
      <c r="K29" s="2"/>
      <c r="L29" s="2"/>
      <c r="M29" s="104" t="s">
        <v>49</v>
      </c>
      <c r="N29" s="104"/>
    </row>
    <row r="30" spans="1:14" ht="16.2" x14ac:dyDescent="0.3">
      <c r="A30" s="105"/>
      <c r="B30" s="105"/>
      <c r="C30" s="7" t="s">
        <v>50</v>
      </c>
      <c r="D30" s="7" t="s">
        <v>51</v>
      </c>
      <c r="E30" s="2" t="s">
        <v>52</v>
      </c>
      <c r="F30" s="2" t="s">
        <v>53</v>
      </c>
      <c r="G30" s="7" t="s">
        <v>54</v>
      </c>
      <c r="H30" s="7" t="s">
        <v>55</v>
      </c>
      <c r="I30" s="2" t="s">
        <v>56</v>
      </c>
      <c r="J30" s="2" t="s">
        <v>57</v>
      </c>
      <c r="K30" s="2" t="s">
        <v>58</v>
      </c>
      <c r="L30" s="2" t="s">
        <v>59</v>
      </c>
      <c r="M30" s="2" t="s">
        <v>60</v>
      </c>
      <c r="N30" s="2" t="s">
        <v>61</v>
      </c>
    </row>
    <row r="31" spans="1:14" x14ac:dyDescent="0.3">
      <c r="A31" s="2" t="s">
        <v>62</v>
      </c>
      <c r="B31" s="5">
        <f>15/60</f>
        <v>0.25</v>
      </c>
      <c r="C31" s="2">
        <v>0</v>
      </c>
      <c r="D31" s="2">
        <f>C31</f>
        <v>0</v>
      </c>
      <c r="E31" s="2">
        <v>0</v>
      </c>
      <c r="F31" s="6">
        <v>20</v>
      </c>
      <c r="G31" s="5">
        <f>F31*B31</f>
        <v>5</v>
      </c>
      <c r="H31" s="5">
        <f t="shared" ref="H31:H37" si="0">CONVERT(G31,"Nmi","m")/1000</f>
        <v>9.26</v>
      </c>
      <c r="I31" s="57">
        <v>2.3771700000000001E-3</v>
      </c>
      <c r="J31" s="5"/>
      <c r="K31" s="5"/>
      <c r="L31" s="2"/>
      <c r="M31" s="5">
        <f>((1000*B31)/($B$6*$B$12))*($B$16/$B$41)</f>
        <v>2.7629917231195344E-2</v>
      </c>
      <c r="N31" s="5">
        <f t="shared" ref="N31:N36" si="1">M31*$H$45</f>
        <v>1101.0752688172038</v>
      </c>
    </row>
    <row r="32" spans="1:14" x14ac:dyDescent="0.3">
      <c r="A32" s="2" t="s">
        <v>63</v>
      </c>
      <c r="B32" s="5">
        <f>D32/E32/60</f>
        <v>0.18478061644618027</v>
      </c>
      <c r="C32" s="2">
        <f>D31</f>
        <v>0</v>
      </c>
      <c r="D32" s="2">
        <f>F7</f>
        <v>25000</v>
      </c>
      <c r="E32" s="5">
        <f>L32*196.85</f>
        <v>2254.92627246444</v>
      </c>
      <c r="F32" s="6">
        <v>240</v>
      </c>
      <c r="G32" s="5">
        <f>F32*B32</f>
        <v>44.347347947083264</v>
      </c>
      <c r="H32" s="5">
        <f t="shared" si="0"/>
        <v>82.131288397998205</v>
      </c>
      <c r="I32" s="57">
        <f>(I31+I33)/2</f>
        <v>1.7212149999999999E-3</v>
      </c>
      <c r="J32" s="5">
        <f t="shared" ref="J32:J33" si="2">0.5*I32*(F32*1.688)^2</f>
        <v>141.24480862924798</v>
      </c>
      <c r="K32" s="5">
        <f>1/(((J32*$I$12)/$B$8)+($B$8)*(1/(J32*PI()*$B$7*$I$15)))</f>
        <v>19.036376125533774</v>
      </c>
      <c r="L32" s="2">
        <f>((1000*$B$13)/$I$9)*($B$9)-(((CONVERT(F32,"kn","m/hr")/1000))/(3.6*K32))</f>
        <v>11.455048374216103</v>
      </c>
      <c r="M32" s="5">
        <f>((CONVERT($D$32,"ft","m"))/(3.6*L32*$B$6*$B$12))*($B$9)</f>
        <v>6.3580300003422754E-2</v>
      </c>
      <c r="N32" s="5">
        <f t="shared" si="1"/>
        <v>2533.7280358808548</v>
      </c>
    </row>
    <row r="33" spans="1:14" x14ac:dyDescent="0.3">
      <c r="A33" s="2" t="s">
        <v>14</v>
      </c>
      <c r="B33" s="5">
        <f>G33/F33</f>
        <v>1.7194439700110065</v>
      </c>
      <c r="C33" s="2">
        <f>D32</f>
        <v>25000</v>
      </c>
      <c r="D33" s="2">
        <f>C33</f>
        <v>25000</v>
      </c>
      <c r="E33" s="58">
        <v>0</v>
      </c>
      <c r="F33" s="2">
        <f>F11</f>
        <v>265</v>
      </c>
      <c r="G33" s="5">
        <f>500-G32</f>
        <v>455.65265205291672</v>
      </c>
      <c r="H33" s="5">
        <f t="shared" si="0"/>
        <v>843.86871160200178</v>
      </c>
      <c r="I33" s="57">
        <v>1.0652599999999999E-3</v>
      </c>
      <c r="J33" s="5">
        <f t="shared" si="2"/>
        <v>106.57669700171199</v>
      </c>
      <c r="K33" s="5">
        <f>1/(((J33*$I$12)/$B$8)+($B$8)*(1/(J33*PI()*$B$7*$I$15)))</f>
        <v>19.922173557753364</v>
      </c>
      <c r="L33" s="2"/>
      <c r="M33" s="5">
        <f>(H33*$I$9)/(3.6*$B$6*$B$13*$B$12*K33)</f>
        <v>0.22566231234275796</v>
      </c>
      <c r="N33" s="5">
        <f t="shared" si="1"/>
        <v>8992.8315436348676</v>
      </c>
    </row>
    <row r="34" spans="1:14" x14ac:dyDescent="0.3">
      <c r="A34" s="2" t="s">
        <v>64</v>
      </c>
      <c r="B34" s="5">
        <f>ABS((C34-D34)/E34)/60</f>
        <v>0.14578619183618977</v>
      </c>
      <c r="C34" s="2">
        <f>D33</f>
        <v>25000</v>
      </c>
      <c r="D34" s="2">
        <f>F8</f>
        <v>5000</v>
      </c>
      <c r="E34" s="5">
        <f>L34*196.85</f>
        <v>2286.4533954482999</v>
      </c>
      <c r="F34" s="6">
        <v>240</v>
      </c>
      <c r="G34" s="5">
        <f>F34*B34</f>
        <v>34.988686040685543</v>
      </c>
      <c r="H34" s="5">
        <f t="shared" si="0"/>
        <v>64.799046547349619</v>
      </c>
      <c r="I34" s="57">
        <f>(I33+I35)/2</f>
        <v>1.5568000000000001E-3</v>
      </c>
      <c r="J34" s="5">
        <f>0.5*I34*(F34*1.688)^2</f>
        <v>127.75273168896001</v>
      </c>
      <c r="K34" s="5">
        <f>1/(((J34*$I$12)/$B$8)+($B$8)*(1/(J34*PI()*$B$7*$I$15)))</f>
        <v>19.518353503795289</v>
      </c>
      <c r="L34" s="2">
        <f>((1000*$B$13)/$I$9)*($B$9)-(((CONVERT(F34,"kn","m/hr")/1000))/(3.6*K34))</f>
        <v>11.615206479290322</v>
      </c>
      <c r="M34" s="5">
        <f>((CONVERT(C34-D34,"ft","m"))/(3.6*L34*$B$6*$B$12))*($B$9)</f>
        <v>5.0162890413352645E-2</v>
      </c>
      <c r="N34" s="5">
        <f t="shared" si="1"/>
        <v>1999.0330620379011</v>
      </c>
    </row>
    <row r="35" spans="1:14" x14ac:dyDescent="0.3">
      <c r="A35" s="2" t="s">
        <v>18</v>
      </c>
      <c r="B35" s="5">
        <f>'🚫'!B77/60</f>
        <v>0.75</v>
      </c>
      <c r="C35" s="2">
        <f>D34</f>
        <v>5000</v>
      </c>
      <c r="D35" s="2">
        <f>C35</f>
        <v>5000</v>
      </c>
      <c r="E35" s="2">
        <v>0</v>
      </c>
      <c r="F35" s="2">
        <f>F12</f>
        <v>160</v>
      </c>
      <c r="G35" s="5">
        <f>F35*B35+50</f>
        <v>170</v>
      </c>
      <c r="H35" s="5">
        <f t="shared" si="0"/>
        <v>314.83999999999997</v>
      </c>
      <c r="I35" s="57">
        <v>2.0483400000000001E-3</v>
      </c>
      <c r="J35" s="5">
        <f>0.5*I35*(F35*1.688)^2</f>
        <v>74.706243698687999</v>
      </c>
      <c r="K35" s="5">
        <f>1/(((J35*$I$12)/$B$8)+($B$8)*(1/(J35*PI()*$B$7*$I$15)))</f>
        <v>18.876770104988829</v>
      </c>
      <c r="L35" s="2"/>
      <c r="M35" s="5">
        <f>(B35*(CONVERT(F35,"kn","m/hr")/1000)*$I$9)/(3.6*$B$6*$B$13*$B$12*K35)</f>
        <v>6.2721351852271429E-2</v>
      </c>
      <c r="N35" s="5">
        <f t="shared" si="1"/>
        <v>2499.4982349547349</v>
      </c>
    </row>
    <row r="36" spans="1:14" x14ac:dyDescent="0.3">
      <c r="A36" s="2" t="s">
        <v>65</v>
      </c>
      <c r="B36" s="5">
        <f>10/60</f>
        <v>0.16666666666666666</v>
      </c>
      <c r="C36" s="2">
        <f>D35</f>
        <v>5000</v>
      </c>
      <c r="D36" s="2">
        <v>0</v>
      </c>
      <c r="E36" s="2">
        <v>0</v>
      </c>
      <c r="F36" s="6">
        <v>20</v>
      </c>
      <c r="G36" s="5">
        <f>F36*B36</f>
        <v>3.333333333333333</v>
      </c>
      <c r="H36" s="5">
        <f t="shared" si="0"/>
        <v>6.1733333333333329</v>
      </c>
      <c r="I36" s="57">
        <f>I31</f>
        <v>2.3771700000000001E-3</v>
      </c>
      <c r="J36" s="5"/>
      <c r="K36" s="5"/>
      <c r="L36" s="2"/>
      <c r="M36" s="5">
        <f>((1000*B36)/($B$6*$B$12))*($B$16/$B$41)</f>
        <v>1.8419944820796896E-2</v>
      </c>
      <c r="N36" s="5">
        <f t="shared" si="1"/>
        <v>734.05017921146919</v>
      </c>
    </row>
    <row r="37" spans="1:14" x14ac:dyDescent="0.3">
      <c r="A37" s="2" t="s">
        <v>43</v>
      </c>
      <c r="B37" s="5">
        <f>SUM(B31:B36)</f>
        <v>3.2166774449600433</v>
      </c>
      <c r="G37" s="5">
        <f>SUM(G31:G36)</f>
        <v>713.32201937401896</v>
      </c>
      <c r="H37" s="5">
        <f t="shared" si="0"/>
        <v>1321.0723798806832</v>
      </c>
      <c r="M37" s="16">
        <f>SUM(M31:M36)</f>
        <v>0.44817671666379699</v>
      </c>
      <c r="N37" s="5">
        <f>SUM(N31:N36)</f>
        <v>17860.216324537032</v>
      </c>
    </row>
    <row r="39" spans="1:14" ht="15" thickBot="1" x14ac:dyDescent="0.35"/>
    <row r="40" spans="1:14" x14ac:dyDescent="0.3">
      <c r="A40" s="1" t="s">
        <v>66</v>
      </c>
      <c r="G40" s="8" t="s">
        <v>67</v>
      </c>
      <c r="H40" s="9"/>
      <c r="J40" s="101" t="s">
        <v>68</v>
      </c>
      <c r="K40" s="102"/>
      <c r="L40" t="s">
        <v>582</v>
      </c>
    </row>
    <row r="41" spans="1:14" x14ac:dyDescent="0.3">
      <c r="A41" s="14" t="s">
        <v>583</v>
      </c>
      <c r="B41" s="54">
        <v>39850.834861497293</v>
      </c>
      <c r="C41" t="s">
        <v>69</v>
      </c>
      <c r="D41" s="33">
        <f>CONVERT(B41*1000,"g","lbm")</f>
        <v>87856.052035216751</v>
      </c>
      <c r="E41" t="s">
        <v>70</v>
      </c>
      <c r="G41" s="10" t="s">
        <v>71</v>
      </c>
      <c r="H41" s="12">
        <f>(B41-B64-B51)/B41</f>
        <v>0.44808588828058071</v>
      </c>
      <c r="J41" s="2" t="s">
        <v>72</v>
      </c>
      <c r="K41" s="2" t="s">
        <v>73</v>
      </c>
      <c r="L41" t="s">
        <v>581</v>
      </c>
      <c r="N41">
        <v>34026</v>
      </c>
    </row>
    <row r="42" spans="1:14" x14ac:dyDescent="0.3">
      <c r="G42" s="10" t="s">
        <v>74</v>
      </c>
      <c r="H42" s="12">
        <f>M37</f>
        <v>0.44817671666379699</v>
      </c>
      <c r="J42" s="2" t="s">
        <v>75</v>
      </c>
      <c r="K42" s="2">
        <v>0</v>
      </c>
      <c r="N42">
        <v>34016</v>
      </c>
    </row>
    <row r="43" spans="1:14" ht="15" thickBot="1" x14ac:dyDescent="0.35">
      <c r="A43" s="43" t="s">
        <v>76</v>
      </c>
      <c r="B43" s="43"/>
      <c r="C43" s="43"/>
      <c r="D43" s="43"/>
      <c r="E43" s="43"/>
      <c r="G43" s="13" t="s">
        <v>77</v>
      </c>
      <c r="H43" s="15">
        <f>H41-H42</f>
        <v>-9.0828383216279285E-5</v>
      </c>
      <c r="J43" s="2" t="s">
        <v>78</v>
      </c>
      <c r="K43" s="2" t="s">
        <v>79</v>
      </c>
      <c r="N43">
        <v>34029</v>
      </c>
    </row>
    <row r="44" spans="1:14" ht="15" thickBot="1" x14ac:dyDescent="0.35">
      <c r="A44" s="43" t="s">
        <v>80</v>
      </c>
      <c r="B44" s="44">
        <f>CONVERT(D44,"lbm","g")/1000</f>
        <v>90.718474000000001</v>
      </c>
      <c r="C44" s="43" t="s">
        <v>69</v>
      </c>
      <c r="D44" s="43">
        <v>200</v>
      </c>
      <c r="E44" s="43" t="s">
        <v>70</v>
      </c>
      <c r="N44">
        <v>34024</v>
      </c>
    </row>
    <row r="45" spans="1:14" ht="51" customHeight="1" thickBot="1" x14ac:dyDescent="0.55000000000000004">
      <c r="A45" s="43" t="s">
        <v>81</v>
      </c>
      <c r="B45" s="44">
        <f t="shared" ref="B45" si="3">CONVERT(D45,"lbm","g")/1000</f>
        <v>22.6796185</v>
      </c>
      <c r="C45" s="43" t="s">
        <v>69</v>
      </c>
      <c r="D45" s="43">
        <v>50</v>
      </c>
      <c r="E45" s="43" t="s">
        <v>70</v>
      </c>
      <c r="G45" s="95" t="s">
        <v>82</v>
      </c>
      <c r="H45" s="60">
        <f>$B$51/(1-$H$41-(B64/B41))</f>
        <v>39850.834861497278</v>
      </c>
      <c r="I45" s="61" t="s">
        <v>69</v>
      </c>
      <c r="J45" s="63">
        <f t="shared" ref="J45" si="4">CONVERT(H45*1000,"g","lbm")</f>
        <v>87856.052035216722</v>
      </c>
      <c r="K45" s="61" t="s">
        <v>70</v>
      </c>
    </row>
    <row r="46" spans="1:14" ht="21" x14ac:dyDescent="0.4">
      <c r="A46" s="43" t="s">
        <v>83</v>
      </c>
      <c r="B46" s="44">
        <f>F15</f>
        <v>40</v>
      </c>
      <c r="C46" s="43" t="s">
        <v>13</v>
      </c>
      <c r="D46" s="43"/>
      <c r="E46" s="43"/>
      <c r="H46" s="3"/>
      <c r="J46" s="62"/>
      <c r="K46" s="62"/>
      <c r="N46">
        <v>30645</v>
      </c>
    </row>
    <row r="47" spans="1:14" ht="21.6" thickBot="1" x14ac:dyDescent="0.45">
      <c r="A47" s="43" t="s">
        <v>84</v>
      </c>
      <c r="B47" s="44">
        <f>F17+F16</f>
        <v>4</v>
      </c>
      <c r="C47" s="43" t="s">
        <v>13</v>
      </c>
      <c r="D47" s="43"/>
      <c r="E47" s="43"/>
      <c r="J47" s="62"/>
      <c r="K47" s="62"/>
      <c r="L47" t="s">
        <v>85</v>
      </c>
      <c r="N47">
        <v>30637</v>
      </c>
    </row>
    <row r="48" spans="1:14" ht="19.2" customHeight="1" thickBot="1" x14ac:dyDescent="0.45">
      <c r="A48" s="43" t="s">
        <v>86</v>
      </c>
      <c r="B48" s="44">
        <f>B46*B44</f>
        <v>3628.7389600000001</v>
      </c>
      <c r="C48" s="43" t="s">
        <v>69</v>
      </c>
      <c r="D48" s="43">
        <f>B46*D44</f>
        <v>8000</v>
      </c>
      <c r="E48" s="43" t="s">
        <v>70</v>
      </c>
      <c r="G48" s="96" t="s">
        <v>87</v>
      </c>
      <c r="H48" s="52">
        <f>$H$45*$H$42</f>
        <v>17860.216324537028</v>
      </c>
      <c r="I48" s="53" t="s">
        <v>69</v>
      </c>
      <c r="J48" s="59">
        <f>CONVERT(H48*1000,"g","lbm")</f>
        <v>39375.036940187128</v>
      </c>
      <c r="K48" s="53" t="s">
        <v>70</v>
      </c>
      <c r="L48" t="str">
        <f>IF(H48=N37,"MATCH","DOES NOT MATCH")</f>
        <v>MATCH</v>
      </c>
      <c r="N48">
        <v>30648</v>
      </c>
    </row>
    <row r="49" spans="1:14" x14ac:dyDescent="0.3">
      <c r="A49" s="43" t="s">
        <v>88</v>
      </c>
      <c r="B49" s="44">
        <f>B47*B44</f>
        <v>362.873896</v>
      </c>
      <c r="C49" s="43" t="s">
        <v>69</v>
      </c>
      <c r="D49" s="43">
        <f>B47*D44</f>
        <v>800</v>
      </c>
      <c r="E49" s="43" t="s">
        <v>70</v>
      </c>
      <c r="N49">
        <v>30642</v>
      </c>
    </row>
    <row r="50" spans="1:14" x14ac:dyDescent="0.3">
      <c r="A50" s="43" t="s">
        <v>89</v>
      </c>
      <c r="B50" s="44">
        <f>$B$45*($B$46+$B$47)</f>
        <v>997.90321400000005</v>
      </c>
      <c r="C50" s="43" t="s">
        <v>69</v>
      </c>
      <c r="D50" s="43">
        <f>D45*(B46+B47)</f>
        <v>2200</v>
      </c>
      <c r="E50" s="43" t="s">
        <v>70</v>
      </c>
      <c r="H50" s="3"/>
    </row>
    <row r="51" spans="1:14" ht="21" x14ac:dyDescent="0.4">
      <c r="A51" s="45" t="s">
        <v>90</v>
      </c>
      <c r="B51" s="46">
        <f>Weights!S6</f>
        <v>4989.5160700000006</v>
      </c>
      <c r="C51" s="47" t="s">
        <v>69</v>
      </c>
      <c r="D51" s="47">
        <f>CONVERT(B51*1000,"g","lbm")</f>
        <v>11000</v>
      </c>
      <c r="E51" s="47" t="s">
        <v>70</v>
      </c>
      <c r="G51" s="67"/>
      <c r="J51">
        <f>H48*B6</f>
        <v>11162635.202835644</v>
      </c>
      <c r="K51" t="s">
        <v>92</v>
      </c>
      <c r="N51">
        <v>29423</v>
      </c>
    </row>
    <row r="52" spans="1:14" x14ac:dyDescent="0.3">
      <c r="B52" s="3"/>
      <c r="J52">
        <f>J51/1000</f>
        <v>11162.635202835643</v>
      </c>
      <c r="K52" t="s">
        <v>93</v>
      </c>
      <c r="N52">
        <v>29416</v>
      </c>
    </row>
    <row r="53" spans="1:14" x14ac:dyDescent="0.3">
      <c r="A53" s="43" t="s">
        <v>94</v>
      </c>
      <c r="B53" s="44"/>
      <c r="C53" s="43"/>
      <c r="D53" s="43"/>
      <c r="E53" s="43"/>
      <c r="G53" s="67"/>
      <c r="J53" s="99" t="s">
        <v>580</v>
      </c>
      <c r="N53">
        <v>29414</v>
      </c>
    </row>
    <row r="54" spans="1:14" x14ac:dyDescent="0.3">
      <c r="A54" s="43" t="s">
        <v>95</v>
      </c>
      <c r="B54" s="44">
        <f>CONVERT(D54,"lbm","g")/1000</f>
        <v>136.07771100000002</v>
      </c>
      <c r="C54" s="43" t="s">
        <v>69</v>
      </c>
      <c r="D54" s="43">
        <f>'🚫'!B50</f>
        <v>300</v>
      </c>
      <c r="E54" s="43" t="s">
        <v>70</v>
      </c>
      <c r="N54">
        <v>29414</v>
      </c>
    </row>
    <row r="55" spans="1:14" x14ac:dyDescent="0.3">
      <c r="A55" s="43" t="s">
        <v>96</v>
      </c>
      <c r="B55" s="44">
        <v>2028</v>
      </c>
      <c r="C55" s="43" t="s">
        <v>69</v>
      </c>
      <c r="D55" s="43">
        <f>CONVERT(B55*1000,"g","lbm")</f>
        <v>4470.9746771093169</v>
      </c>
      <c r="E55" s="43" t="s">
        <v>70</v>
      </c>
    </row>
    <row r="56" spans="1:14" x14ac:dyDescent="0.3">
      <c r="A56" s="43"/>
      <c r="B56" s="44"/>
      <c r="C56" s="43"/>
      <c r="D56" s="43"/>
      <c r="E56" s="43"/>
    </row>
    <row r="57" spans="1:14" x14ac:dyDescent="0.3">
      <c r="A57" s="43" t="s">
        <v>97</v>
      </c>
      <c r="B57" s="44"/>
      <c r="C57" s="43"/>
      <c r="D57" s="43"/>
      <c r="E57" s="43"/>
      <c r="G57" s="67"/>
    </row>
    <row r="58" spans="1:14" x14ac:dyDescent="0.3">
      <c r="A58" s="43" t="s">
        <v>98</v>
      </c>
      <c r="B58" s="44">
        <f>'🚫'!D84</f>
        <v>206.4</v>
      </c>
      <c r="C58" s="43" t="s">
        <v>69</v>
      </c>
      <c r="D58" s="43">
        <f>CONVERT(B58*1000,"g","lbm")</f>
        <v>455.03410914958732</v>
      </c>
      <c r="E58" s="43" t="s">
        <v>70</v>
      </c>
    </row>
    <row r="59" spans="1:14" x14ac:dyDescent="0.3">
      <c r="A59" s="43" t="s">
        <v>99</v>
      </c>
      <c r="B59" s="44">
        <f>'🚫'!B85</f>
        <v>4</v>
      </c>
      <c r="C59" s="43" t="s">
        <v>13</v>
      </c>
      <c r="D59" s="43"/>
      <c r="E59" s="43"/>
      <c r="G59" s="67"/>
    </row>
    <row r="60" spans="1:14" x14ac:dyDescent="0.3">
      <c r="A60" s="43" t="s">
        <v>100</v>
      </c>
      <c r="B60" s="44">
        <f>B58*B59</f>
        <v>825.6</v>
      </c>
      <c r="C60" s="43" t="s">
        <v>69</v>
      </c>
      <c r="D60" s="43">
        <f>CONVERT(B60*1000,"g","lbm")</f>
        <v>1820.1364365983493</v>
      </c>
      <c r="E60" s="43" t="s">
        <v>70</v>
      </c>
    </row>
    <row r="61" spans="1:14" x14ac:dyDescent="0.3">
      <c r="A61" s="43"/>
      <c r="B61" s="44"/>
      <c r="C61" s="43"/>
      <c r="D61" s="43"/>
      <c r="E61" s="43"/>
    </row>
    <row r="62" spans="1:14" x14ac:dyDescent="0.3">
      <c r="A62" s="43" t="s">
        <v>101</v>
      </c>
      <c r="B62" s="44">
        <f>0.24*11750</f>
        <v>2820</v>
      </c>
      <c r="C62" s="43" t="s">
        <v>69</v>
      </c>
      <c r="D62" s="43">
        <f>CONVERT(B62*1000,"g","lbm")</f>
        <v>6217.0357936135479</v>
      </c>
      <c r="E62" s="43" t="s">
        <v>70</v>
      </c>
    </row>
    <row r="63" spans="1:14" x14ac:dyDescent="0.3">
      <c r="A63" s="43"/>
      <c r="B63" s="44"/>
      <c r="C63" s="43"/>
      <c r="D63" s="43"/>
      <c r="E63" s="43"/>
    </row>
    <row r="64" spans="1:14" ht="21" x14ac:dyDescent="0.4">
      <c r="A64" s="45" t="s">
        <v>102</v>
      </c>
      <c r="B64" s="46">
        <f>Weights!F6</f>
        <v>17004.722053860543</v>
      </c>
      <c r="C64" s="47" t="s">
        <v>69</v>
      </c>
      <c r="D64" s="47">
        <f>CONVERT(B64*1000,"g","lbm")</f>
        <v>37488.994918191733</v>
      </c>
      <c r="E64" s="47" t="s">
        <v>70</v>
      </c>
    </row>
    <row r="65" spans="1:7" x14ac:dyDescent="0.3">
      <c r="G65" s="73"/>
    </row>
    <row r="66" spans="1:7" x14ac:dyDescent="0.3">
      <c r="A66" t="s">
        <v>586</v>
      </c>
    </row>
    <row r="67" spans="1:7" x14ac:dyDescent="0.3">
      <c r="G67" s="67"/>
    </row>
  </sheetData>
  <mergeCells count="9">
    <mergeCell ref="J40:K40"/>
    <mergeCell ref="A1:C3"/>
    <mergeCell ref="G29:H29"/>
    <mergeCell ref="M29:N29"/>
    <mergeCell ref="C29:D29"/>
    <mergeCell ref="A29:A30"/>
    <mergeCell ref="B29:B30"/>
    <mergeCell ref="D1:F3"/>
    <mergeCell ref="A5:C5"/>
  </mergeCells>
  <phoneticPr fontId="10" type="noConversion"/>
  <conditionalFormatting sqref="J50">
    <cfRule type="cellIs" dxfId="3" priority="1" operator="equal">
      <formula>"MATCH"</formula>
    </cfRule>
    <cfRule type="cellIs" dxfId="2" priority="2" operator="equal">
      <formula>"DOES NOT MATCH"</formula>
    </cfRule>
  </conditionalFormatting>
  <conditionalFormatting sqref="L48">
    <cfRule type="cellIs" dxfId="1" priority="3" operator="equal">
      <formula>"DOES NOT MATCH"</formula>
    </cfRule>
    <cfRule type="cellIs" dxfId="0" priority="4" operator="equal">
      <formula>"MATCH"</formula>
    </cfRule>
  </conditionalFormatting>
  <pageMargins left="0.7" right="0.7" top="0.75" bottom="0.75" header="0.3" footer="0.3"/>
  <ignoredErrors>
    <ignoredError sqref="G33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3" name="Button 7">
              <controlPr defaultSize="0" print="0" autoFill="0" autoPict="0" macro="[0]!GoalSeek">
                <anchor moveWithCells="1" sizeWithCells="1">
                  <from>
                    <xdr:col>6</xdr:col>
                    <xdr:colOff>1371600</xdr:colOff>
                    <xdr:row>18</xdr:row>
                    <xdr:rowOff>0</xdr:rowOff>
                  </from>
                  <to>
                    <xdr:col>9</xdr:col>
                    <xdr:colOff>205740</xdr:colOff>
                    <xdr:row>21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A2922-BD7F-4AEB-860E-17E2E44839F4}">
  <sheetPr codeName="Sheet4"/>
  <dimension ref="A1:Y100"/>
  <sheetViews>
    <sheetView zoomScale="70" zoomScaleNormal="70" workbookViewId="0">
      <selection activeCell="I7" sqref="I7"/>
    </sheetView>
  </sheetViews>
  <sheetFormatPr defaultRowHeight="14.4" x14ac:dyDescent="0.3"/>
  <cols>
    <col min="1" max="1" width="39.6640625" customWidth="1"/>
    <col min="2" max="2" width="18.44140625" customWidth="1"/>
    <col min="3" max="3" width="14.6640625" customWidth="1"/>
    <col min="5" max="5" width="36.109375" customWidth="1"/>
    <col min="6" max="6" width="25.5546875" customWidth="1"/>
    <col min="9" max="9" width="40.5546875" customWidth="1"/>
    <col min="10" max="10" width="15" customWidth="1"/>
    <col min="14" max="14" width="19.109375" customWidth="1"/>
    <col min="15" max="15" width="14.6640625" customWidth="1"/>
    <col min="17" max="17" width="16.33203125" customWidth="1"/>
    <col min="18" max="18" width="29.5546875" customWidth="1"/>
    <col min="19" max="19" width="19.33203125" customWidth="1"/>
    <col min="20" max="20" width="12.88671875" customWidth="1"/>
    <col min="22" max="22" width="14.5546875" customWidth="1"/>
  </cols>
  <sheetData>
    <row r="1" spans="1:25" x14ac:dyDescent="0.3">
      <c r="A1" s="131" t="s">
        <v>104</v>
      </c>
      <c r="B1" s="131"/>
      <c r="C1" s="131"/>
      <c r="D1" s="106" t="s">
        <v>105</v>
      </c>
      <c r="E1" s="106"/>
    </row>
    <row r="2" spans="1:25" x14ac:dyDescent="0.3">
      <c r="A2" s="131"/>
      <c r="B2" s="131"/>
      <c r="C2" s="131"/>
      <c r="D2" s="106"/>
      <c r="E2" s="106"/>
    </row>
    <row r="3" spans="1:25" ht="15" thickBot="1" x14ac:dyDescent="0.35">
      <c r="A3" s="131"/>
      <c r="B3" s="131"/>
      <c r="C3" s="131"/>
      <c r="D3" s="106"/>
      <c r="E3" s="106"/>
      <c r="I3" s="3"/>
    </row>
    <row r="4" spans="1:25" ht="30" customHeight="1" x14ac:dyDescent="0.3">
      <c r="A4" s="39" t="s">
        <v>106</v>
      </c>
      <c r="B4" s="3">
        <f>Sizing!D41</f>
        <v>87856.052035216751</v>
      </c>
      <c r="C4" t="s">
        <v>70</v>
      </c>
      <c r="E4" s="128" t="s">
        <v>107</v>
      </c>
      <c r="F4" s="127">
        <f>B28+F28+J28+J40+F40+B40+B49+J49+J56+F56+B56+B61+F61+J61+J66+F66+B66+B71+F71+J71+B79+F79</f>
        <v>37488.994918191733</v>
      </c>
      <c r="G4" s="117" t="s">
        <v>70</v>
      </c>
      <c r="R4" s="120" t="s">
        <v>108</v>
      </c>
      <c r="S4" s="125">
        <f>S15+W13</f>
        <v>11000</v>
      </c>
      <c r="T4" s="117" t="s">
        <v>70</v>
      </c>
    </row>
    <row r="5" spans="1:25" ht="14.4" customHeight="1" x14ac:dyDescent="0.3">
      <c r="A5" t="s">
        <v>109</v>
      </c>
      <c r="B5">
        <v>2.5</v>
      </c>
      <c r="C5" t="s">
        <v>110</v>
      </c>
      <c r="E5" s="129"/>
      <c r="F5" s="123"/>
      <c r="G5" s="118"/>
      <c r="I5" s="4"/>
      <c r="J5" s="1" t="s">
        <v>584</v>
      </c>
      <c r="R5" s="121"/>
      <c r="S5" s="126"/>
      <c r="T5" s="118"/>
    </row>
    <row r="6" spans="1:25" ht="14.4" customHeight="1" x14ac:dyDescent="0.3">
      <c r="A6" t="s">
        <v>111</v>
      </c>
      <c r="B6">
        <v>-1</v>
      </c>
      <c r="C6" t="s">
        <v>110</v>
      </c>
      <c r="E6" s="129"/>
      <c r="F6" s="123">
        <f>CONVERT(F4,"lbm","g")/1000</f>
        <v>17004.722053860543</v>
      </c>
      <c r="G6" s="118" t="s">
        <v>69</v>
      </c>
      <c r="I6" s="34"/>
      <c r="J6" s="1" t="s">
        <v>4</v>
      </c>
      <c r="R6" s="121"/>
      <c r="S6" s="123">
        <f>CONVERT(S4,"lbm","g")/1000</f>
        <v>4989.5160700000006</v>
      </c>
      <c r="T6" s="118" t="s">
        <v>69</v>
      </c>
    </row>
    <row r="7" spans="1:25" ht="14.4" customHeight="1" thickBot="1" x14ac:dyDescent="0.35">
      <c r="A7" t="s">
        <v>112</v>
      </c>
      <c r="B7">
        <v>1.5</v>
      </c>
      <c r="C7" t="s">
        <v>13</v>
      </c>
      <c r="E7" s="130"/>
      <c r="F7" s="124"/>
      <c r="G7" s="119"/>
      <c r="I7" s="32"/>
      <c r="J7" s="1" t="s">
        <v>10</v>
      </c>
      <c r="R7" s="122"/>
      <c r="S7" s="124"/>
      <c r="T7" s="119"/>
    </row>
    <row r="8" spans="1:25" ht="14.4" customHeight="1" x14ac:dyDescent="0.35">
      <c r="A8" t="s">
        <v>113</v>
      </c>
      <c r="B8">
        <f>1.5*B5</f>
        <v>3.75</v>
      </c>
      <c r="C8" t="s">
        <v>110</v>
      </c>
      <c r="E8" s="42"/>
    </row>
    <row r="9" spans="1:25" x14ac:dyDescent="0.3">
      <c r="A9" s="132" t="s">
        <v>114</v>
      </c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16"/>
      <c r="M9" s="116"/>
      <c r="N9" s="132" t="s">
        <v>115</v>
      </c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16"/>
    </row>
    <row r="10" spans="1:25" x14ac:dyDescent="0.3">
      <c r="A10" s="132"/>
      <c r="B10" s="132"/>
      <c r="C10" s="132"/>
      <c r="D10" s="132"/>
      <c r="E10" s="132"/>
      <c r="F10" s="132"/>
      <c r="G10" s="132"/>
      <c r="H10" s="132"/>
      <c r="I10" s="132"/>
      <c r="J10" s="132"/>
      <c r="K10" s="132"/>
      <c r="L10" s="116"/>
      <c r="M10" s="116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16"/>
    </row>
    <row r="11" spans="1:25" ht="40.950000000000003" customHeight="1" x14ac:dyDescent="0.3">
      <c r="A11" s="110" t="s">
        <v>116</v>
      </c>
      <c r="B11" s="110"/>
      <c r="C11" s="110"/>
      <c r="D11" s="38"/>
      <c r="E11" s="110" t="s">
        <v>117</v>
      </c>
      <c r="F11" s="110"/>
      <c r="G11" s="110"/>
      <c r="H11" s="38"/>
      <c r="I11" s="110" t="s">
        <v>118</v>
      </c>
      <c r="J11" s="110"/>
      <c r="K11" s="110"/>
      <c r="L11" s="116"/>
      <c r="M11" s="116"/>
      <c r="N11" s="108" t="s">
        <v>119</v>
      </c>
      <c r="O11" s="108"/>
      <c r="P11" s="108"/>
      <c r="R11" s="108" t="s">
        <v>120</v>
      </c>
      <c r="S11" s="108"/>
      <c r="T11" s="108"/>
      <c r="V11" s="108" t="s">
        <v>121</v>
      </c>
      <c r="W11" s="108"/>
      <c r="X11" s="108"/>
      <c r="Y11" s="116"/>
    </row>
    <row r="12" spans="1:25" ht="15.6" x14ac:dyDescent="0.35">
      <c r="A12" t="s">
        <v>122</v>
      </c>
      <c r="B12" s="33">
        <f>Sizing!B7</f>
        <v>11</v>
      </c>
      <c r="C12" t="s">
        <v>13</v>
      </c>
      <c r="E12" t="s">
        <v>123</v>
      </c>
      <c r="F12" s="54">
        <v>4</v>
      </c>
      <c r="G12" t="s">
        <v>13</v>
      </c>
      <c r="I12" t="s">
        <v>124</v>
      </c>
      <c r="J12" s="54">
        <v>1.2</v>
      </c>
      <c r="K12" t="s">
        <v>13</v>
      </c>
      <c r="L12" s="116"/>
      <c r="M12" s="116"/>
      <c r="N12" t="s">
        <v>119</v>
      </c>
      <c r="O12" s="41">
        <f>Sizing!F15</f>
        <v>40</v>
      </c>
      <c r="P12" t="s">
        <v>13</v>
      </c>
      <c r="R12" t="s">
        <v>40</v>
      </c>
      <c r="S12" s="41">
        <f>Sizing!F16</f>
        <v>2</v>
      </c>
      <c r="T12" t="s">
        <v>13</v>
      </c>
      <c r="V12" t="s">
        <v>125</v>
      </c>
      <c r="W12" s="34">
        <v>50</v>
      </c>
      <c r="X12" t="s">
        <v>70</v>
      </c>
      <c r="Y12" s="116"/>
    </row>
    <row r="13" spans="1:25" ht="15.6" x14ac:dyDescent="0.35">
      <c r="A13" t="s">
        <v>126</v>
      </c>
      <c r="B13" s="54">
        <v>0.4</v>
      </c>
      <c r="C13" t="s">
        <v>13</v>
      </c>
      <c r="E13" t="s">
        <v>127</v>
      </c>
      <c r="F13" s="54">
        <v>0.4</v>
      </c>
      <c r="G13" t="s">
        <v>13</v>
      </c>
      <c r="I13" t="s">
        <v>128</v>
      </c>
      <c r="J13" s="54">
        <v>0.8</v>
      </c>
      <c r="K13" t="s">
        <v>13</v>
      </c>
      <c r="L13" s="116"/>
      <c r="M13" s="116"/>
      <c r="N13" t="s">
        <v>80</v>
      </c>
      <c r="O13" s="34">
        <v>200</v>
      </c>
      <c r="P13" t="s">
        <v>70</v>
      </c>
      <c r="R13" t="s">
        <v>129</v>
      </c>
      <c r="S13" s="41">
        <f>Sizing!F17</f>
        <v>2</v>
      </c>
      <c r="T13" t="s">
        <v>13</v>
      </c>
      <c r="V13" t="s">
        <v>130</v>
      </c>
      <c r="W13" s="41">
        <f>W12*(O12+S12+S13)</f>
        <v>2200</v>
      </c>
      <c r="X13" t="s">
        <v>70</v>
      </c>
      <c r="Y13" s="116"/>
    </row>
    <row r="14" spans="1:25" ht="15.6" x14ac:dyDescent="0.35">
      <c r="A14" t="s">
        <v>131</v>
      </c>
      <c r="B14" s="33">
        <f>SQRT(B12*B15)</f>
        <v>121.00692269123611</v>
      </c>
      <c r="C14" t="s">
        <v>15</v>
      </c>
      <c r="E14" t="s">
        <v>132</v>
      </c>
      <c r="F14" s="33">
        <f>SQRT(F12*F15)</f>
        <v>29.307376649756868</v>
      </c>
      <c r="G14" t="s">
        <v>15</v>
      </c>
      <c r="I14" t="s">
        <v>133</v>
      </c>
      <c r="J14" s="33">
        <f>SQRT(J12*J15)</f>
        <v>15.408275062161508</v>
      </c>
      <c r="K14" t="s">
        <v>15</v>
      </c>
      <c r="L14" s="116"/>
      <c r="M14" s="116"/>
      <c r="N14" t="s">
        <v>134</v>
      </c>
      <c r="O14" s="41">
        <f>O12+S12+S13</f>
        <v>44</v>
      </c>
      <c r="P14" t="s">
        <v>13</v>
      </c>
      <c r="R14" t="s">
        <v>135</v>
      </c>
      <c r="S14" s="41">
        <f>(S12+S13)*O13</f>
        <v>800</v>
      </c>
      <c r="T14" t="s">
        <v>70</v>
      </c>
      <c r="Y14" s="116"/>
    </row>
    <row r="15" spans="1:25" ht="16.8" x14ac:dyDescent="0.35">
      <c r="A15" t="s">
        <v>136</v>
      </c>
      <c r="B15" s="33">
        <f>Sizing!D41/Sizing!B8</f>
        <v>1331.1523035638902</v>
      </c>
      <c r="C15" t="s">
        <v>137</v>
      </c>
      <c r="E15" t="s">
        <v>138</v>
      </c>
      <c r="F15" s="33">
        <f>(F26*B20*B15)/F24</f>
        <v>214.73058152267853</v>
      </c>
      <c r="G15" t="s">
        <v>137</v>
      </c>
      <c r="I15" t="s">
        <v>139</v>
      </c>
      <c r="J15" s="33">
        <f>(J25*B14*B15)/F24</f>
        <v>197.84578365935684</v>
      </c>
      <c r="K15" t="s">
        <v>137</v>
      </c>
      <c r="L15" s="116"/>
      <c r="M15" s="116"/>
      <c r="N15" t="s">
        <v>140</v>
      </c>
      <c r="O15" s="41">
        <f>O12*O13</f>
        <v>8000</v>
      </c>
      <c r="R15" t="s">
        <v>141</v>
      </c>
      <c r="S15" s="41">
        <f>S14+O15</f>
        <v>8800</v>
      </c>
      <c r="T15" t="s">
        <v>70</v>
      </c>
      <c r="Y15" s="116"/>
    </row>
    <row r="16" spans="1:25" ht="16.8" x14ac:dyDescent="0.35">
      <c r="A16" t="s">
        <v>142</v>
      </c>
      <c r="B16" s="33">
        <f>B15*40%</f>
        <v>532.46092142555608</v>
      </c>
      <c r="C16" t="s">
        <v>137</v>
      </c>
      <c r="E16" t="s">
        <v>143</v>
      </c>
      <c r="F16" s="33">
        <f>F15*10%</f>
        <v>21.473058152267853</v>
      </c>
      <c r="G16" t="s">
        <v>137</v>
      </c>
      <c r="I16" t="s">
        <v>144</v>
      </c>
      <c r="J16" s="33">
        <f>10%*J15</f>
        <v>19.784578365935687</v>
      </c>
      <c r="K16" t="s">
        <v>137</v>
      </c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</row>
    <row r="17" spans="1:25" ht="15.6" x14ac:dyDescent="0.35">
      <c r="A17" t="s">
        <v>145</v>
      </c>
      <c r="B17" s="54">
        <v>0</v>
      </c>
      <c r="C17" t="s">
        <v>146</v>
      </c>
      <c r="E17" t="s">
        <v>147</v>
      </c>
      <c r="F17" s="54">
        <v>0</v>
      </c>
      <c r="G17" t="s">
        <v>146</v>
      </c>
      <c r="I17" t="s">
        <v>148</v>
      </c>
      <c r="J17" s="54">
        <v>20</v>
      </c>
      <c r="K17" t="s">
        <v>146</v>
      </c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</row>
    <row r="18" spans="1:25" ht="15.6" x14ac:dyDescent="0.35">
      <c r="A18" t="s">
        <v>149</v>
      </c>
      <c r="B18" s="33">
        <f>B13*B19</f>
        <v>6.28607390603824</v>
      </c>
      <c r="C18" t="s">
        <v>15</v>
      </c>
      <c r="E18" t="s">
        <v>149</v>
      </c>
      <c r="F18" s="33">
        <f>F13*F19</f>
        <v>4.1867680928224109</v>
      </c>
      <c r="G18" t="s">
        <v>15</v>
      </c>
      <c r="I18" t="s">
        <v>149</v>
      </c>
      <c r="J18" s="33">
        <f>J13*J19</f>
        <v>11.413537083082598</v>
      </c>
      <c r="K18" t="s">
        <v>15</v>
      </c>
      <c r="L18" s="116"/>
      <c r="M18" s="116"/>
    </row>
    <row r="19" spans="1:25" ht="15.6" x14ac:dyDescent="0.35">
      <c r="A19" t="s">
        <v>150</v>
      </c>
      <c r="B19" s="33">
        <f>((2*B15)/(B14*(1+B13)))</f>
        <v>15.715184765095598</v>
      </c>
      <c r="C19" t="s">
        <v>15</v>
      </c>
      <c r="E19" t="s">
        <v>150</v>
      </c>
      <c r="F19" s="33">
        <f>((2*F15)/(F14*(1+F13)))</f>
        <v>10.466920232056026</v>
      </c>
      <c r="G19" t="s">
        <v>15</v>
      </c>
      <c r="I19" t="s">
        <v>150</v>
      </c>
      <c r="J19" s="33">
        <f>((2*J15)/(J14*(1+J13)))</f>
        <v>14.266921353853247</v>
      </c>
      <c r="K19" t="s">
        <v>15</v>
      </c>
      <c r="L19" s="116"/>
      <c r="M19" s="116"/>
    </row>
    <row r="20" spans="1:25" x14ac:dyDescent="0.3">
      <c r="A20" t="s">
        <v>151</v>
      </c>
      <c r="B20" s="33">
        <f>(2/3)*(B19)*((1+B13+(B13^2))/(1+B13))</f>
        <v>11.674137254071015</v>
      </c>
      <c r="C20" t="s">
        <v>15</v>
      </c>
      <c r="E20" t="s">
        <v>151</v>
      </c>
      <c r="F20" s="33">
        <f>(2/3)*(F19)*((1+F13+(F13^2))/(1+F13))</f>
        <v>7.775426458098762</v>
      </c>
      <c r="G20" t="s">
        <v>15</v>
      </c>
      <c r="I20" t="s">
        <v>151</v>
      </c>
      <c r="J20" s="33">
        <f>(2/3)*(J19)*((1+J13+(J13^2))/(1+J13))</f>
        <v>12.893069667926641</v>
      </c>
      <c r="K20" t="s">
        <v>15</v>
      </c>
      <c r="L20" s="116"/>
      <c r="M20" s="116"/>
    </row>
    <row r="21" spans="1:25" x14ac:dyDescent="0.3">
      <c r="A21" t="s">
        <v>152</v>
      </c>
      <c r="B21" s="33">
        <f>(B14/6)*((1+2*B13)/(1+B13))</f>
        <v>25.93005486240774</v>
      </c>
      <c r="C21" t="s">
        <v>15</v>
      </c>
      <c r="E21" t="s">
        <v>152</v>
      </c>
      <c r="F21" s="33">
        <f>(F14/6)*((1+2*F13)/(1+F13))</f>
        <v>6.280152139233615</v>
      </c>
      <c r="G21" t="s">
        <v>15</v>
      </c>
      <c r="I21" t="s">
        <v>152</v>
      </c>
      <c r="J21" s="33">
        <f>(J14/6)*((1+2*J13)/(1+J13))</f>
        <v>3.7093995520018441</v>
      </c>
      <c r="K21" t="s">
        <v>15</v>
      </c>
      <c r="L21" s="116"/>
      <c r="M21" s="116"/>
    </row>
    <row r="22" spans="1:25" x14ac:dyDescent="0.3">
      <c r="A22" t="s">
        <v>153</v>
      </c>
      <c r="B22" s="98">
        <f>B23*B19</f>
        <v>1.57151847650956</v>
      </c>
      <c r="C22" t="s">
        <v>15</v>
      </c>
      <c r="E22" t="s">
        <v>153</v>
      </c>
      <c r="F22" s="98">
        <f>F23*F19</f>
        <v>1.0466920232056027</v>
      </c>
      <c r="G22" t="s">
        <v>15</v>
      </c>
      <c r="I22" t="s">
        <v>153</v>
      </c>
      <c r="J22" s="98">
        <f>J23*J19</f>
        <v>1.4266921353853248</v>
      </c>
      <c r="K22" t="s">
        <v>15</v>
      </c>
      <c r="L22" s="116"/>
      <c r="M22" s="116"/>
    </row>
    <row r="23" spans="1:25" ht="15.6" x14ac:dyDescent="0.35">
      <c r="A23" t="s">
        <v>154</v>
      </c>
      <c r="B23" s="54">
        <v>0.1</v>
      </c>
      <c r="C23" t="s">
        <v>13</v>
      </c>
      <c r="E23" t="s">
        <v>154</v>
      </c>
      <c r="F23" s="54">
        <v>0.1</v>
      </c>
      <c r="G23" t="s">
        <v>13</v>
      </c>
      <c r="I23" t="s">
        <v>154</v>
      </c>
      <c r="J23" s="54">
        <v>0.1</v>
      </c>
      <c r="K23" t="s">
        <v>13</v>
      </c>
      <c r="L23" s="116"/>
      <c r="M23" s="116"/>
    </row>
    <row r="24" spans="1:25" ht="15.6" x14ac:dyDescent="0.35">
      <c r="A24" t="s">
        <v>155</v>
      </c>
      <c r="B24" s="54">
        <v>0.85</v>
      </c>
      <c r="C24" t="s">
        <v>13</v>
      </c>
      <c r="E24" t="s">
        <v>156</v>
      </c>
      <c r="F24" s="33">
        <f>B32*0.53</f>
        <v>65.133010533074781</v>
      </c>
      <c r="G24" t="s">
        <v>15</v>
      </c>
      <c r="I24" t="s">
        <v>157</v>
      </c>
      <c r="K24" t="b">
        <v>1</v>
      </c>
      <c r="L24" s="116"/>
      <c r="M24" s="116"/>
    </row>
    <row r="25" spans="1:25" ht="15.6" x14ac:dyDescent="0.35">
      <c r="E25" t="s">
        <v>158</v>
      </c>
      <c r="G25" t="b">
        <v>0</v>
      </c>
      <c r="I25" t="s">
        <v>159</v>
      </c>
      <c r="J25" s="34">
        <v>0.08</v>
      </c>
      <c r="K25" t="s">
        <v>13</v>
      </c>
      <c r="L25" s="116"/>
      <c r="M25" s="116"/>
    </row>
    <row r="26" spans="1:25" ht="15.6" x14ac:dyDescent="0.35">
      <c r="E26" t="s">
        <v>160</v>
      </c>
      <c r="F26" s="34">
        <v>0.9</v>
      </c>
      <c r="G26" t="s">
        <v>13</v>
      </c>
      <c r="I26" t="s">
        <v>155</v>
      </c>
      <c r="J26" s="34">
        <v>0.83</v>
      </c>
      <c r="K26" t="s">
        <v>13</v>
      </c>
      <c r="L26" s="116"/>
      <c r="M26" s="116"/>
    </row>
    <row r="27" spans="1:25" x14ac:dyDescent="0.3">
      <c r="E27" t="s">
        <v>155</v>
      </c>
      <c r="F27" s="34">
        <v>0.83</v>
      </c>
      <c r="G27" t="s">
        <v>13</v>
      </c>
      <c r="J27" s="34"/>
      <c r="L27" s="116"/>
      <c r="M27" s="116"/>
    </row>
    <row r="28" spans="1:25" x14ac:dyDescent="0.3">
      <c r="A28" s="109" t="s">
        <v>161</v>
      </c>
      <c r="B28" s="68">
        <f>(0.0051*((B4*B8)^0.557)*(B15^0.649)*(B12^0.5)*(B23^-0.4)*((1+B13)^0.1)*((COS(B17))^-1)*(B16^0.1))*B24</f>
        <v>8830.129528600055</v>
      </c>
      <c r="C28" s="56" t="s">
        <v>70</v>
      </c>
      <c r="D28" s="56"/>
      <c r="E28" s="109" t="s">
        <v>162</v>
      </c>
      <c r="F28" s="68">
        <f>(0.0379*B86*((1+(B35/F14))^-0.25)*(B4^0.639)*(B8^0.1)*(F15^0.75)*(F24^-1)*(B87^0.704)*((COS(F17)^-1))*(F12^0.166)*((1+(F16/F15))^0.1))*F27</f>
        <v>451.41339037422108</v>
      </c>
      <c r="G28" s="56" t="s">
        <v>70</v>
      </c>
      <c r="H28" s="56"/>
      <c r="I28" s="109" t="s">
        <v>163</v>
      </c>
      <c r="J28" s="68">
        <f>(0.0026*((1+(B88))^0.225)*(B4^0.556)*(B8^0.536)*(F24^-0.5)*(J15^0.5)*(B89^0.875)*(COS(J17)^-1)*(J12^0.35)*(J23^-0.5))*J26</f>
        <v>1597.7387492384119</v>
      </c>
      <c r="K28" s="56" t="s">
        <v>70</v>
      </c>
      <c r="L28" s="116"/>
      <c r="M28" s="116"/>
    </row>
    <row r="29" spans="1:25" x14ac:dyDescent="0.3">
      <c r="A29" s="109"/>
      <c r="B29" s="68">
        <f>CONVERT(B28,"lbm","g")/1000</f>
        <v>4005.2793802846818</v>
      </c>
      <c r="C29" s="56" t="s">
        <v>69</v>
      </c>
      <c r="D29" s="56"/>
      <c r="E29" s="109"/>
      <c r="F29" s="68">
        <f>CONVERT(F28,"lbm","g")/1000</f>
        <v>204.75766958957814</v>
      </c>
      <c r="G29" s="56" t="s">
        <v>69</v>
      </c>
      <c r="H29" s="56"/>
      <c r="I29" s="109"/>
      <c r="J29" s="68">
        <f>CONVERT(J28,"lbm","g")/1000</f>
        <v>724.722105907887</v>
      </c>
      <c r="K29" s="56" t="s">
        <v>69</v>
      </c>
      <c r="L29" s="116"/>
      <c r="M29" s="116"/>
    </row>
    <row r="30" spans="1:25" ht="29.4" customHeight="1" x14ac:dyDescent="0.3">
      <c r="A30" s="133" t="s">
        <v>164</v>
      </c>
      <c r="B30" s="110"/>
      <c r="C30" s="110"/>
      <c r="D30" s="38"/>
      <c r="E30" s="110" t="s">
        <v>165</v>
      </c>
      <c r="F30" s="110"/>
      <c r="G30" s="110"/>
      <c r="H30" s="38"/>
      <c r="I30" s="110" t="s">
        <v>166</v>
      </c>
      <c r="J30" s="110"/>
      <c r="K30" s="110"/>
      <c r="L30" s="116"/>
      <c r="M30" s="116"/>
      <c r="O30" t="s">
        <v>167</v>
      </c>
    </row>
    <row r="31" spans="1:25" ht="15.6" x14ac:dyDescent="0.35">
      <c r="A31" s="10" t="s">
        <v>168</v>
      </c>
      <c r="B31" s="32">
        <f>80%*B32</f>
        <v>98.31397816313175</v>
      </c>
      <c r="C31" t="s">
        <v>15</v>
      </c>
      <c r="E31" t="s">
        <v>169</v>
      </c>
      <c r="F31" s="34">
        <v>100</v>
      </c>
      <c r="G31" t="s">
        <v>170</v>
      </c>
      <c r="I31" t="s">
        <v>171</v>
      </c>
      <c r="J31" s="34">
        <v>50</v>
      </c>
      <c r="K31" t="s">
        <v>170</v>
      </c>
      <c r="L31" s="116"/>
      <c r="M31" s="116"/>
      <c r="O31" t="s">
        <v>172</v>
      </c>
      <c r="P31" t="s">
        <v>70</v>
      </c>
      <c r="Q31" t="s">
        <v>103</v>
      </c>
    </row>
    <row r="32" spans="1:25" ht="15.6" x14ac:dyDescent="0.35">
      <c r="A32" s="10" t="s">
        <v>173</v>
      </c>
      <c r="B32" s="32">
        <f>0.37*(B4^0.51)</f>
        <v>122.89247270391468</v>
      </c>
      <c r="C32" t="s">
        <v>15</v>
      </c>
      <c r="E32" t="s">
        <v>174</v>
      </c>
      <c r="F32" s="34">
        <v>4</v>
      </c>
      <c r="G32" t="s">
        <v>13</v>
      </c>
      <c r="I32" t="s">
        <v>175</v>
      </c>
      <c r="J32" s="34">
        <v>2</v>
      </c>
      <c r="K32" t="s">
        <v>13</v>
      </c>
      <c r="L32" s="116"/>
      <c r="M32" s="116"/>
      <c r="O32" t="s">
        <v>176</v>
      </c>
      <c r="P32" s="3">
        <f>B28</f>
        <v>8830.129528600055</v>
      </c>
    </row>
    <row r="33" spans="1:16" ht="15.6" x14ac:dyDescent="0.35">
      <c r="A33" t="s">
        <v>177</v>
      </c>
      <c r="B33" s="34">
        <v>8.5299999999999994</v>
      </c>
      <c r="C33" t="s">
        <v>15</v>
      </c>
      <c r="E33" t="s">
        <v>178</v>
      </c>
      <c r="F33" s="34">
        <v>4</v>
      </c>
      <c r="G33" t="s">
        <v>13</v>
      </c>
      <c r="I33" t="s">
        <v>179</v>
      </c>
      <c r="J33" s="34">
        <v>1</v>
      </c>
      <c r="K33" t="s">
        <v>13</v>
      </c>
      <c r="L33" s="116"/>
      <c r="M33" s="116"/>
      <c r="O33" t="s">
        <v>117</v>
      </c>
      <c r="P33" s="3">
        <f>F28</f>
        <v>451.41339037422108</v>
      </c>
    </row>
    <row r="34" spans="1:16" ht="16.8" x14ac:dyDescent="0.35">
      <c r="A34" t="s">
        <v>180</v>
      </c>
      <c r="B34" s="32">
        <f>CONVERT(Drag!B49,"m^2","ft^2")</f>
        <v>2995.3019369132167</v>
      </c>
      <c r="C34" t="s">
        <v>137</v>
      </c>
      <c r="E34" t="s">
        <v>179</v>
      </c>
      <c r="F34" s="34">
        <v>2</v>
      </c>
      <c r="G34" t="s">
        <v>13</v>
      </c>
      <c r="I34" t="s">
        <v>181</v>
      </c>
      <c r="K34" t="b">
        <v>0</v>
      </c>
      <c r="L34" s="116"/>
      <c r="M34" s="116"/>
      <c r="O34" t="s">
        <v>118</v>
      </c>
      <c r="P34" s="3">
        <f>J28</f>
        <v>1597.7387492384119</v>
      </c>
    </row>
    <row r="35" spans="1:16" ht="15.6" x14ac:dyDescent="0.35">
      <c r="A35" t="s">
        <v>182</v>
      </c>
      <c r="B35" s="32">
        <f>0.25*B33</f>
        <v>2.1324999999999998</v>
      </c>
      <c r="C35" t="s">
        <v>15</v>
      </c>
      <c r="E35" t="s">
        <v>183</v>
      </c>
      <c r="F35" s="34">
        <v>123</v>
      </c>
      <c r="G35" t="s">
        <v>26</v>
      </c>
      <c r="I35" s="111" t="s">
        <v>184</v>
      </c>
      <c r="J35" s="113">
        <f>J33*B7</f>
        <v>1.5</v>
      </c>
      <c r="K35" s="111" t="s">
        <v>110</v>
      </c>
      <c r="L35" s="116"/>
      <c r="M35" s="116"/>
      <c r="O35" t="s">
        <v>185</v>
      </c>
      <c r="P35" s="3">
        <f>B40</f>
        <v>8519.4979123548546</v>
      </c>
    </row>
    <row r="36" spans="1:16" x14ac:dyDescent="0.3">
      <c r="A36" t="s">
        <v>186</v>
      </c>
      <c r="B36" s="34">
        <v>11</v>
      </c>
      <c r="C36" t="s">
        <v>13</v>
      </c>
      <c r="E36" t="s">
        <v>181</v>
      </c>
      <c r="G36" t="b">
        <v>0</v>
      </c>
      <c r="I36" s="111"/>
      <c r="J36" s="113"/>
      <c r="K36" s="111"/>
      <c r="L36" s="116"/>
      <c r="M36" s="116"/>
      <c r="O36" t="s">
        <v>187</v>
      </c>
      <c r="P36" s="3">
        <f>F40</f>
        <v>2591.7959802295277</v>
      </c>
    </row>
    <row r="37" spans="1:16" x14ac:dyDescent="0.3">
      <c r="A37" t="s">
        <v>155</v>
      </c>
      <c r="B37" s="34">
        <v>0.9</v>
      </c>
      <c r="C37" t="s">
        <v>13</v>
      </c>
      <c r="E37" t="s">
        <v>188</v>
      </c>
      <c r="G37" t="b">
        <v>0</v>
      </c>
      <c r="I37" s="111"/>
      <c r="J37" s="113"/>
      <c r="K37" s="111"/>
      <c r="L37" s="116"/>
      <c r="M37" s="116"/>
      <c r="O37" t="s">
        <v>189</v>
      </c>
      <c r="P37" s="3">
        <f>J40</f>
        <v>497.41266987907073</v>
      </c>
    </row>
    <row r="38" spans="1:16" ht="15.6" x14ac:dyDescent="0.35">
      <c r="E38" t="s">
        <v>184</v>
      </c>
      <c r="F38" s="32">
        <f>F34*B7</f>
        <v>3</v>
      </c>
      <c r="G38" t="s">
        <v>110</v>
      </c>
      <c r="I38" s="111"/>
      <c r="J38" s="113"/>
      <c r="K38" s="111"/>
      <c r="L38" s="116"/>
      <c r="M38" s="116"/>
      <c r="O38" t="s">
        <v>190</v>
      </c>
      <c r="P38" s="3">
        <f>B49</f>
        <v>517.29637873570039</v>
      </c>
    </row>
    <row r="39" spans="1:16" x14ac:dyDescent="0.3">
      <c r="E39" t="s">
        <v>155</v>
      </c>
      <c r="F39">
        <v>0.95</v>
      </c>
      <c r="G39" t="s">
        <v>13</v>
      </c>
      <c r="I39" t="s">
        <v>155</v>
      </c>
      <c r="J39" s="72">
        <v>0.95</v>
      </c>
      <c r="K39" s="36" t="s">
        <v>13</v>
      </c>
      <c r="L39" s="116"/>
      <c r="M39" s="116"/>
      <c r="P39" s="3"/>
    </row>
    <row r="40" spans="1:16" x14ac:dyDescent="0.3">
      <c r="A40" s="109" t="s">
        <v>191</v>
      </c>
      <c r="B40" s="69">
        <f>(0.328*B90*B91*((B4*B8)^0.5)*(B31^0.25)*(B34^0.302)*((1+B92)^0.04)*(B36^0.1))*B37</f>
        <v>8519.4979123548546</v>
      </c>
      <c r="C40" s="55" t="s">
        <v>70</v>
      </c>
      <c r="D40" s="55"/>
      <c r="E40" s="109" t="s">
        <v>192</v>
      </c>
      <c r="F40" s="69">
        <f>(0.0106*B93*(B4^0.888)*(F38^0.25)*(F31^0.4)*(F32^0.321)*(F33^-0.5)*(F35^0.1))*F39</f>
        <v>2591.7959802295277</v>
      </c>
      <c r="G40" s="55" t="s">
        <v>70</v>
      </c>
      <c r="H40" s="55"/>
      <c r="I40" s="109" t="s">
        <v>193</v>
      </c>
      <c r="J40" s="69">
        <f>(0.032*(B94)*(B4^0.646)*(J35^0.2)*(J31^0.5)*(J32^0.45))*J39</f>
        <v>497.41266987907073</v>
      </c>
      <c r="K40" s="55" t="s">
        <v>70</v>
      </c>
      <c r="L40" s="116"/>
      <c r="M40" s="116"/>
      <c r="O40" t="s">
        <v>194</v>
      </c>
      <c r="P40" s="3">
        <f>F49</f>
        <v>1820</v>
      </c>
    </row>
    <row r="41" spans="1:16" x14ac:dyDescent="0.3">
      <c r="A41" s="109"/>
      <c r="B41" s="69">
        <f>CONVERT(B40,"lbm","g")/1000</f>
        <v>3864.3792492750913</v>
      </c>
      <c r="C41" s="55" t="s">
        <v>69</v>
      </c>
      <c r="D41" s="55"/>
      <c r="E41" s="109"/>
      <c r="F41" s="69">
        <f>CONVERT(F40,"lbm","g")/1000</f>
        <v>1175.6188812287846</v>
      </c>
      <c r="G41" s="55" t="s">
        <v>69</v>
      </c>
      <c r="H41" s="55"/>
      <c r="I41" s="109"/>
      <c r="J41" s="69">
        <f>CONVERT(J40,"lbm","g")/1000</f>
        <v>225.6225917984753</v>
      </c>
      <c r="K41" s="55" t="s">
        <v>69</v>
      </c>
      <c r="L41" s="116"/>
      <c r="M41" s="116"/>
      <c r="O41" t="s">
        <v>195</v>
      </c>
      <c r="P41" s="3">
        <f>J49</f>
        <v>100</v>
      </c>
    </row>
    <row r="42" spans="1:16" ht="31.2" customHeight="1" x14ac:dyDescent="0.3">
      <c r="A42" s="110" t="s">
        <v>190</v>
      </c>
      <c r="B42" s="110"/>
      <c r="C42" s="110"/>
      <c r="D42" s="38"/>
      <c r="E42" s="110" t="s">
        <v>196</v>
      </c>
      <c r="F42" s="110"/>
      <c r="G42" s="110"/>
      <c r="H42" s="38"/>
      <c r="I42" s="110" t="s">
        <v>195</v>
      </c>
      <c r="J42" s="110"/>
      <c r="K42" s="110"/>
      <c r="L42" s="116"/>
      <c r="M42" s="116"/>
      <c r="O42" t="s">
        <v>197</v>
      </c>
      <c r="P42" s="3">
        <f>B56</f>
        <v>1564.6622400389128</v>
      </c>
    </row>
    <row r="43" spans="1:16" ht="15.6" x14ac:dyDescent="0.35">
      <c r="A43" t="s">
        <v>198</v>
      </c>
      <c r="B43" s="54">
        <v>4.2699999999999996</v>
      </c>
      <c r="C43" t="s">
        <v>15</v>
      </c>
      <c r="E43" t="s">
        <v>199</v>
      </c>
      <c r="F43" s="34">
        <v>4</v>
      </c>
      <c r="I43" s="111" t="s">
        <v>200</v>
      </c>
      <c r="J43" s="112">
        <v>100</v>
      </c>
      <c r="K43" s="111" t="s">
        <v>15</v>
      </c>
      <c r="L43" s="116"/>
      <c r="M43" s="116"/>
      <c r="O43" t="s">
        <v>201</v>
      </c>
      <c r="P43" s="3">
        <f>F56</f>
        <v>895.18190939513158</v>
      </c>
    </row>
    <row r="44" spans="1:16" ht="15.6" x14ac:dyDescent="0.35">
      <c r="A44" t="s">
        <v>202</v>
      </c>
      <c r="B44" s="54">
        <v>2.21</v>
      </c>
      <c r="C44" t="s">
        <v>15</v>
      </c>
      <c r="E44" t="s">
        <v>203</v>
      </c>
      <c r="F44" s="34">
        <v>455</v>
      </c>
      <c r="G44" t="s">
        <v>70</v>
      </c>
      <c r="I44" s="111"/>
      <c r="J44" s="112"/>
      <c r="K44" s="111"/>
      <c r="L44" s="116"/>
      <c r="M44" s="116"/>
      <c r="O44" t="s">
        <v>95</v>
      </c>
      <c r="P44" s="3">
        <f>J56</f>
        <v>471.03838197862501</v>
      </c>
    </row>
    <row r="45" spans="1:16" x14ac:dyDescent="0.3">
      <c r="A45" t="s">
        <v>204</v>
      </c>
      <c r="B45" s="3"/>
      <c r="C45" t="b">
        <v>0</v>
      </c>
      <c r="E45" t="s">
        <v>205</v>
      </c>
      <c r="G45" t="b">
        <v>0</v>
      </c>
      <c r="I45" s="111"/>
      <c r="J45" s="112"/>
      <c r="K45" s="111"/>
      <c r="L45" s="116"/>
      <c r="M45" s="116"/>
      <c r="O45" t="s">
        <v>206</v>
      </c>
      <c r="P45" s="3">
        <f>B61</f>
        <v>530.17546336171438</v>
      </c>
    </row>
    <row r="46" spans="1:16" ht="16.8" x14ac:dyDescent="0.35">
      <c r="A46" t="s">
        <v>207</v>
      </c>
      <c r="B46" s="33">
        <f>PI()*(B44)*B43</f>
        <v>29.646267394130795</v>
      </c>
      <c r="C46" t="s">
        <v>137</v>
      </c>
      <c r="E46" t="s">
        <v>208</v>
      </c>
      <c r="G46" t="b">
        <v>0</v>
      </c>
      <c r="I46" s="111"/>
      <c r="J46" s="112"/>
      <c r="K46" s="111"/>
      <c r="L46" s="116"/>
      <c r="M46" s="116"/>
      <c r="O46" t="s">
        <v>209</v>
      </c>
      <c r="P46" s="3">
        <f>F61</f>
        <v>330</v>
      </c>
    </row>
    <row r="47" spans="1:16" x14ac:dyDescent="0.3">
      <c r="A47" t="s">
        <v>210</v>
      </c>
      <c r="B47" s="33">
        <f>2.331*(F44^0.901)*B96*B97</f>
        <v>810.09989818112433</v>
      </c>
      <c r="C47" t="s">
        <v>70</v>
      </c>
      <c r="E47" t="s">
        <v>211</v>
      </c>
      <c r="G47" t="b">
        <v>1</v>
      </c>
      <c r="I47" s="111"/>
      <c r="J47" s="112"/>
      <c r="K47" s="111"/>
      <c r="L47" s="116"/>
      <c r="M47" s="116"/>
      <c r="O47" t="s">
        <v>212</v>
      </c>
      <c r="P47" s="3">
        <f>J61</f>
        <v>515.44387321997556</v>
      </c>
    </row>
    <row r="48" spans="1:16" x14ac:dyDescent="0.3">
      <c r="A48" t="s">
        <v>103</v>
      </c>
      <c r="B48">
        <v>0.9</v>
      </c>
      <c r="C48" t="s">
        <v>13</v>
      </c>
      <c r="E48" t="s">
        <v>213</v>
      </c>
      <c r="G48" t="b">
        <v>1</v>
      </c>
      <c r="I48" s="111"/>
      <c r="J48" s="112"/>
      <c r="K48" s="111"/>
      <c r="L48" s="116"/>
      <c r="M48" s="116"/>
      <c r="O48" t="s">
        <v>214</v>
      </c>
      <c r="P48" s="3">
        <f>B66</f>
        <v>322.78507603517039</v>
      </c>
    </row>
    <row r="49" spans="1:16" x14ac:dyDescent="0.3">
      <c r="A49" s="109" t="s">
        <v>215</v>
      </c>
      <c r="B49" s="69">
        <f>(0.6724*B95*(B43^0.1)*(B44^0.294)*(B8^0.119)*(B47^0.611)*(F43^0.984)*(B46^0.224))*B48</f>
        <v>517.29637873570039</v>
      </c>
      <c r="C49" s="55" t="s">
        <v>70</v>
      </c>
      <c r="D49" s="55"/>
      <c r="E49" s="109" t="s">
        <v>216</v>
      </c>
      <c r="F49" s="69">
        <f>F43*F44</f>
        <v>1820</v>
      </c>
      <c r="G49" s="55" t="s">
        <v>70</v>
      </c>
      <c r="H49" s="55"/>
      <c r="I49" s="109" t="s">
        <v>217</v>
      </c>
      <c r="J49" s="69">
        <f>(5*F43+0.8*J43)</f>
        <v>100</v>
      </c>
      <c r="K49" s="55" t="s">
        <v>70</v>
      </c>
      <c r="L49" s="116"/>
      <c r="M49" s="116"/>
      <c r="O49" t="s">
        <v>218</v>
      </c>
      <c r="P49" s="3">
        <f>F66</f>
        <v>68.010417902921958</v>
      </c>
    </row>
    <row r="50" spans="1:16" x14ac:dyDescent="0.3">
      <c r="A50" s="109"/>
      <c r="B50" s="69">
        <f>CONVERT(B49,"lbm","g")/1000</f>
        <v>234.64169042314393</v>
      </c>
      <c r="C50" s="55" t="s">
        <v>69</v>
      </c>
      <c r="D50" s="55"/>
      <c r="E50" s="109"/>
      <c r="F50" s="69">
        <f>CONVERT(F49,"lbm","g")/1000</f>
        <v>825.53811340000004</v>
      </c>
      <c r="G50" s="55" t="s">
        <v>69</v>
      </c>
      <c r="H50" s="55"/>
      <c r="I50" s="109"/>
      <c r="J50" s="69">
        <f>CONVERT(J49,"lbm","g")/1000</f>
        <v>45.359237</v>
      </c>
      <c r="K50" s="55" t="s">
        <v>69</v>
      </c>
      <c r="L50" s="116"/>
      <c r="M50" s="116"/>
      <c r="O50" t="s">
        <v>219</v>
      </c>
      <c r="P50" s="3">
        <f>J66</f>
        <v>324.99449413122574</v>
      </c>
    </row>
    <row r="51" spans="1:16" ht="34.200000000000003" customHeight="1" x14ac:dyDescent="0.3">
      <c r="A51" s="110" t="s">
        <v>197</v>
      </c>
      <c r="B51" s="110"/>
      <c r="C51" s="110"/>
      <c r="D51" s="38"/>
      <c r="E51" s="110" t="s">
        <v>220</v>
      </c>
      <c r="F51" s="110"/>
      <c r="G51" s="110"/>
      <c r="H51" s="38"/>
      <c r="I51" s="110" t="s">
        <v>95</v>
      </c>
      <c r="J51" s="110"/>
      <c r="K51" s="110"/>
      <c r="L51" s="116"/>
      <c r="M51" s="116"/>
      <c r="O51" t="s">
        <v>221</v>
      </c>
      <c r="P51" s="3">
        <f>B71</f>
        <v>175.7121040704335</v>
      </c>
    </row>
    <row r="52" spans="1:16" ht="15.6" x14ac:dyDescent="0.35">
      <c r="A52" t="s">
        <v>222</v>
      </c>
      <c r="B52" s="34">
        <v>7</v>
      </c>
      <c r="C52" t="s">
        <v>13</v>
      </c>
      <c r="E52" t="s">
        <v>223</v>
      </c>
      <c r="F52" s="34">
        <v>60</v>
      </c>
      <c r="G52" t="s">
        <v>224</v>
      </c>
      <c r="I52" s="111" t="s">
        <v>225</v>
      </c>
      <c r="J52" s="112">
        <v>300</v>
      </c>
      <c r="K52" s="111" t="s">
        <v>70</v>
      </c>
      <c r="L52" s="116"/>
      <c r="M52" s="116"/>
      <c r="O52" t="s">
        <v>226</v>
      </c>
      <c r="P52" s="3">
        <f>F71</f>
        <v>26.356815610565029</v>
      </c>
    </row>
    <row r="53" spans="1:16" ht="15.6" x14ac:dyDescent="0.35">
      <c r="A53" t="s">
        <v>227</v>
      </c>
      <c r="B53" s="34">
        <v>2</v>
      </c>
      <c r="C53" t="s">
        <v>13</v>
      </c>
      <c r="E53" t="s">
        <v>228</v>
      </c>
      <c r="F53" s="34">
        <v>70</v>
      </c>
      <c r="G53" t="s">
        <v>15</v>
      </c>
      <c r="I53" s="111"/>
      <c r="J53" s="112"/>
      <c r="K53" s="111"/>
      <c r="L53" s="116"/>
      <c r="M53" s="116"/>
      <c r="O53" t="s">
        <v>229</v>
      </c>
      <c r="P53" s="3">
        <f>J71</f>
        <v>1464</v>
      </c>
    </row>
    <row r="54" spans="1:16" ht="16.8" x14ac:dyDescent="0.35">
      <c r="A54" t="s">
        <v>230</v>
      </c>
      <c r="B54" s="33">
        <f>B16+F16+J16</f>
        <v>573.71855794375961</v>
      </c>
      <c r="C54" t="s">
        <v>137</v>
      </c>
      <c r="E54" t="s">
        <v>231</v>
      </c>
      <c r="F54" s="34">
        <v>4</v>
      </c>
      <c r="G54" t="s">
        <v>13</v>
      </c>
      <c r="I54" s="111"/>
      <c r="J54" s="112"/>
      <c r="K54" s="111"/>
      <c r="L54" s="116"/>
      <c r="M54" s="116"/>
      <c r="O54" t="s">
        <v>232</v>
      </c>
      <c r="P54" s="3">
        <f>B79</f>
        <v>41.88914367283185</v>
      </c>
    </row>
    <row r="55" spans="1:16" ht="16.8" x14ac:dyDescent="0.35">
      <c r="A55" t="s">
        <v>233</v>
      </c>
      <c r="B55" s="33">
        <f>(((B14+B31)/2)^2)*((B4*(0.44^2))/(4*32.2))*32.174048556</f>
        <v>51093651.007939838</v>
      </c>
      <c r="C55" t="s">
        <v>234</v>
      </c>
      <c r="I55" s="111"/>
      <c r="J55" s="112"/>
      <c r="K55" s="111"/>
      <c r="L55" s="116"/>
      <c r="M55" s="116"/>
      <c r="O55" t="s">
        <v>235</v>
      </c>
      <c r="P55">
        <f>F79</f>
        <v>7653.4603893623807</v>
      </c>
    </row>
    <row r="56" spans="1:16" x14ac:dyDescent="0.3">
      <c r="A56" s="109" t="s">
        <v>236</v>
      </c>
      <c r="B56" s="69">
        <f>145.9*B52^0.554*((1+(B53/B52))^-1)*(B54^0.2)*((B55*10^-6)^0.07)</f>
        <v>1564.6622400389128</v>
      </c>
      <c r="C56" s="55" t="s">
        <v>70</v>
      </c>
      <c r="D56" s="55"/>
      <c r="E56" s="109" t="s">
        <v>237</v>
      </c>
      <c r="F56" s="69">
        <f>7.291*(F52^0.782)*(F53^0.346)*(F54^0.1)</f>
        <v>895.18190939513158</v>
      </c>
      <c r="G56" s="55" t="s">
        <v>70</v>
      </c>
      <c r="H56" s="55"/>
      <c r="I56" s="109" t="s">
        <v>238</v>
      </c>
      <c r="J56" s="69">
        <f>(1.73*(J52^0.983))</f>
        <v>471.03838197862501</v>
      </c>
      <c r="K56" s="55" t="s">
        <v>70</v>
      </c>
      <c r="L56" s="116"/>
      <c r="M56" s="116"/>
    </row>
    <row r="57" spans="1:16" x14ac:dyDescent="0.3">
      <c r="A57" s="109"/>
      <c r="B57" s="69">
        <f>CONVERT(B56,"lbm","g")/1000</f>
        <v>709.71885370875941</v>
      </c>
      <c r="C57" s="55" t="s">
        <v>69</v>
      </c>
      <c r="D57" s="55"/>
      <c r="E57" s="109"/>
      <c r="F57" s="69">
        <f>CONVERT(F56,"lbm","g")/1000</f>
        <v>406.047683863663</v>
      </c>
      <c r="G57" s="55" t="s">
        <v>69</v>
      </c>
      <c r="H57" s="55"/>
      <c r="I57" s="109"/>
      <c r="J57" s="69">
        <f>CONVERT(J56,"lbm","g")/1000</f>
        <v>213.65941604264984</v>
      </c>
      <c r="K57" s="55" t="s">
        <v>69</v>
      </c>
      <c r="L57" s="116"/>
      <c r="M57" s="116"/>
    </row>
    <row r="58" spans="1:16" ht="41.4" customHeight="1" x14ac:dyDescent="0.3">
      <c r="A58" s="110" t="s">
        <v>206</v>
      </c>
      <c r="B58" s="110"/>
      <c r="C58" s="110"/>
      <c r="D58" s="38"/>
      <c r="E58" s="110" t="s">
        <v>239</v>
      </c>
      <c r="F58" s="110"/>
      <c r="G58" s="110"/>
      <c r="H58" s="38"/>
      <c r="I58" s="110" t="s">
        <v>240</v>
      </c>
      <c r="J58" s="110"/>
      <c r="K58" s="110"/>
      <c r="L58" s="116"/>
      <c r="M58" s="116"/>
    </row>
    <row r="59" spans="1:16" ht="16.95" customHeight="1" x14ac:dyDescent="0.3">
      <c r="A59" s="111" t="s">
        <v>241</v>
      </c>
      <c r="B59" s="113">
        <f>(PI()*((B33/2)^2)*B31)/2</f>
        <v>2809.1389257069227</v>
      </c>
      <c r="C59" s="111" t="s">
        <v>242</v>
      </c>
      <c r="E59" s="111" t="s">
        <v>243</v>
      </c>
      <c r="F59" s="112">
        <v>150</v>
      </c>
      <c r="G59" s="111" t="s">
        <v>70</v>
      </c>
      <c r="I59" s="111" t="s">
        <v>244</v>
      </c>
      <c r="J59" s="113">
        <f>W13</f>
        <v>2200</v>
      </c>
      <c r="K59" s="111" t="s">
        <v>70</v>
      </c>
      <c r="L59" s="116"/>
      <c r="M59" s="116"/>
    </row>
    <row r="60" spans="1:16" x14ac:dyDescent="0.3">
      <c r="A60" s="111"/>
      <c r="B60" s="113"/>
      <c r="C60" s="111"/>
      <c r="E60" s="111"/>
      <c r="F60" s="112"/>
      <c r="G60" s="111"/>
      <c r="I60" s="111"/>
      <c r="J60" s="113"/>
      <c r="K60" s="111"/>
      <c r="L60" s="116"/>
      <c r="M60" s="116"/>
    </row>
    <row r="61" spans="1:16" x14ac:dyDescent="0.3">
      <c r="A61" s="109" t="s">
        <v>245</v>
      </c>
      <c r="B61" s="69">
        <f>62.36*(O14^0.25)*((B59/1000)^0.604)*(J52^0.1)</f>
        <v>530.17546336171438</v>
      </c>
      <c r="C61" s="55" t="s">
        <v>70</v>
      </c>
      <c r="D61" s="55"/>
      <c r="E61" s="109" t="s">
        <v>246</v>
      </c>
      <c r="F61" s="69">
        <f>2.2*F59</f>
        <v>330</v>
      </c>
      <c r="G61" s="55" t="s">
        <v>70</v>
      </c>
      <c r="H61" s="55"/>
      <c r="I61" s="109" t="s">
        <v>247</v>
      </c>
      <c r="J61" s="69">
        <f>0.0577*(S12^0.1)*(J59^0.393)*(B34^0.75)</f>
        <v>515.44387321997556</v>
      </c>
      <c r="K61" s="55" t="s">
        <v>70</v>
      </c>
      <c r="L61" s="116"/>
      <c r="M61" s="116"/>
    </row>
    <row r="62" spans="1:16" x14ac:dyDescent="0.3">
      <c r="A62" s="109"/>
      <c r="B62" s="69">
        <f>CONVERT(B61,"lbm","g")/1000</f>
        <v>240.4835449420882</v>
      </c>
      <c r="C62" s="55" t="s">
        <v>69</v>
      </c>
      <c r="D62" s="55"/>
      <c r="E62" s="109"/>
      <c r="F62" s="69">
        <f>CONVERT(F61,"lbm","g")/1000</f>
        <v>149.6854821</v>
      </c>
      <c r="G62" s="55" t="s">
        <v>69</v>
      </c>
      <c r="H62" s="55"/>
      <c r="I62" s="109"/>
      <c r="J62" s="69">
        <f>CONVERT(J61,"lbm","g")/1000</f>
        <v>233.80140805582823</v>
      </c>
      <c r="K62" s="55" t="s">
        <v>69</v>
      </c>
      <c r="L62" s="116"/>
      <c r="M62" s="116"/>
    </row>
    <row r="63" spans="1:16" ht="34.950000000000003" customHeight="1" x14ac:dyDescent="0.3">
      <c r="A63" s="110" t="s">
        <v>214</v>
      </c>
      <c r="B63" s="110"/>
      <c r="C63" s="110"/>
      <c r="D63" s="38"/>
      <c r="E63" s="110" t="s">
        <v>218</v>
      </c>
      <c r="F63" s="110"/>
      <c r="G63" s="110"/>
      <c r="H63" s="38"/>
      <c r="I63" s="110" t="s">
        <v>248</v>
      </c>
      <c r="J63" s="110"/>
      <c r="K63" s="110"/>
      <c r="L63" s="116"/>
      <c r="M63" s="116"/>
    </row>
    <row r="64" spans="1:16" x14ac:dyDescent="0.3">
      <c r="A64" s="111" t="s">
        <v>249</v>
      </c>
      <c r="B64" s="113">
        <f>0.2673*B52*((B32+B14)^0.937)</f>
        <v>322.78507603517039</v>
      </c>
      <c r="C64" s="111" t="s">
        <v>70</v>
      </c>
      <c r="E64" s="114" t="s">
        <v>250</v>
      </c>
      <c r="F64" s="115">
        <f>(49.19*(((F43*F44/1000)^0.541)))</f>
        <v>68.010417902921958</v>
      </c>
      <c r="G64" s="111" t="s">
        <v>70</v>
      </c>
      <c r="I64" s="114" t="s">
        <v>251</v>
      </c>
      <c r="J64" s="115">
        <f>4.509*B98*B99*(S12^0.541)*(F43)*((B32+B14)^0.5)</f>
        <v>324.99449413122574</v>
      </c>
      <c r="K64" s="111" t="s">
        <v>70</v>
      </c>
      <c r="L64" s="116"/>
      <c r="M64" s="116"/>
    </row>
    <row r="65" spans="1:13" x14ac:dyDescent="0.3">
      <c r="A65" s="111"/>
      <c r="B65" s="113"/>
      <c r="C65" s="111"/>
      <c r="E65" s="114"/>
      <c r="F65" s="115"/>
      <c r="G65" s="111"/>
      <c r="I65" s="114"/>
      <c r="J65" s="115"/>
      <c r="K65" s="111"/>
      <c r="L65" s="116"/>
      <c r="M65" s="116"/>
    </row>
    <row r="66" spans="1:13" x14ac:dyDescent="0.3">
      <c r="A66" s="109" t="s">
        <v>252</v>
      </c>
      <c r="B66" s="69">
        <f>B64</f>
        <v>322.78507603517039</v>
      </c>
      <c r="C66" s="55" t="s">
        <v>70</v>
      </c>
      <c r="D66" s="55"/>
      <c r="E66" s="109" t="s">
        <v>253</v>
      </c>
      <c r="F66" s="69">
        <f>F64</f>
        <v>68.010417902921958</v>
      </c>
      <c r="G66" s="55" t="s">
        <v>70</v>
      </c>
      <c r="H66" s="55"/>
      <c r="I66" s="109" t="s">
        <v>254</v>
      </c>
      <c r="J66" s="69">
        <f>J64</f>
        <v>324.99449413122574</v>
      </c>
      <c r="K66" s="55" t="s">
        <v>70</v>
      </c>
      <c r="L66" s="116"/>
      <c r="M66" s="116"/>
    </row>
    <row r="67" spans="1:13" x14ac:dyDescent="0.3">
      <c r="A67" s="109"/>
      <c r="B67" s="69">
        <f>CONVERT(B66,"lbm","g")/1000</f>
        <v>146.41284763942315</v>
      </c>
      <c r="C67" s="55" t="s">
        <v>69</v>
      </c>
      <c r="D67" s="55"/>
      <c r="E67" s="109"/>
      <c r="F67" s="69">
        <f>CONVERT(F66,"lbm","g")/1000</f>
        <v>30.849006641276802</v>
      </c>
      <c r="G67" s="55" t="s">
        <v>69</v>
      </c>
      <c r="H67" s="55"/>
      <c r="I67" s="109"/>
      <c r="J67" s="69">
        <f>CONVERT(J66,"lbm","g")/1000</f>
        <v>147.4150228299338</v>
      </c>
      <c r="K67" s="55" t="s">
        <v>69</v>
      </c>
      <c r="L67" s="116"/>
      <c r="M67" s="116"/>
    </row>
    <row r="68" spans="1:13" x14ac:dyDescent="0.3">
      <c r="A68" s="110" t="s">
        <v>221</v>
      </c>
      <c r="B68" s="110"/>
      <c r="C68" s="110"/>
      <c r="D68" s="14"/>
      <c r="E68" s="110" t="s">
        <v>255</v>
      </c>
      <c r="F68" s="110"/>
      <c r="G68" s="110"/>
      <c r="I68" s="110" t="s">
        <v>229</v>
      </c>
      <c r="J68" s="110"/>
      <c r="K68" s="110"/>
      <c r="L68" s="116"/>
      <c r="M68" s="116"/>
    </row>
    <row r="69" spans="1:13" x14ac:dyDescent="0.3">
      <c r="A69" s="110"/>
      <c r="B69" s="110"/>
      <c r="C69" s="110"/>
      <c r="D69" s="14"/>
      <c r="E69" s="110"/>
      <c r="F69" s="110"/>
      <c r="G69" s="110"/>
      <c r="I69" s="38" t="s">
        <v>256</v>
      </c>
      <c r="J69" s="70">
        <v>60</v>
      </c>
      <c r="K69" s="38" t="s">
        <v>70</v>
      </c>
      <c r="L69" s="116"/>
      <c r="M69" s="116"/>
    </row>
    <row r="70" spans="1:13" x14ac:dyDescent="0.3">
      <c r="A70" s="110"/>
      <c r="B70" s="110"/>
      <c r="C70" s="110"/>
      <c r="D70" s="14"/>
      <c r="E70" s="110"/>
      <c r="F70" s="110"/>
      <c r="G70" s="110"/>
      <c r="I70" s="38" t="s">
        <v>257</v>
      </c>
      <c r="J70" s="70">
        <v>32</v>
      </c>
      <c r="K70" s="38" t="s">
        <v>70</v>
      </c>
      <c r="L70" s="116"/>
      <c r="M70" s="116"/>
    </row>
    <row r="71" spans="1:13" x14ac:dyDescent="0.3">
      <c r="A71" s="109" t="s">
        <v>258</v>
      </c>
      <c r="B71" s="69">
        <f>0.002*B4</f>
        <v>175.7121040704335</v>
      </c>
      <c r="C71" s="55" t="s">
        <v>70</v>
      </c>
      <c r="D71" s="55"/>
      <c r="E71" s="109" t="s">
        <v>259</v>
      </c>
      <c r="F71" s="69">
        <f>(3*(10^-4))*B4</f>
        <v>26.356815610565029</v>
      </c>
      <c r="G71" s="55" t="s">
        <v>70</v>
      </c>
      <c r="H71" s="55"/>
      <c r="I71" s="109" t="s">
        <v>260</v>
      </c>
      <c r="J71" s="69">
        <f>(J69*S12)+((S13+O12)*J70)</f>
        <v>1464</v>
      </c>
      <c r="K71" s="55" t="s">
        <v>70</v>
      </c>
      <c r="L71" s="116"/>
      <c r="M71" s="116"/>
    </row>
    <row r="72" spans="1:13" x14ac:dyDescent="0.3">
      <c r="A72" s="109"/>
      <c r="B72" s="69">
        <f>CONVERT(B71,"lbm","g")/1000</f>
        <v>79.701669722994581</v>
      </c>
      <c r="C72" s="55" t="s">
        <v>69</v>
      </c>
      <c r="D72" s="55"/>
      <c r="E72" s="109"/>
      <c r="F72" s="69">
        <f>CONVERT(F71,"lbm","g")/1000</f>
        <v>11.955250458449189</v>
      </c>
      <c r="G72" s="55" t="s">
        <v>69</v>
      </c>
      <c r="H72" s="55"/>
      <c r="I72" s="109"/>
      <c r="J72" s="69">
        <f>CONVERT(J71,"lbm","g")/1000</f>
        <v>664.05922968000004</v>
      </c>
      <c r="K72" s="55" t="s">
        <v>69</v>
      </c>
      <c r="L72" s="116"/>
      <c r="M72" s="116"/>
    </row>
    <row r="73" spans="1:13" x14ac:dyDescent="0.3">
      <c r="A73" s="110" t="s">
        <v>232</v>
      </c>
      <c r="B73" s="110"/>
      <c r="C73" s="110"/>
      <c r="E73" s="108" t="s">
        <v>261</v>
      </c>
      <c r="F73" s="108"/>
      <c r="G73" s="108"/>
      <c r="L73" s="116"/>
      <c r="M73" s="116"/>
    </row>
    <row r="74" spans="1:13" ht="16.2" x14ac:dyDescent="0.3">
      <c r="A74" s="110"/>
      <c r="B74" s="110"/>
      <c r="C74" s="110"/>
      <c r="E74" t="s">
        <v>262</v>
      </c>
      <c r="F74" s="34">
        <v>100</v>
      </c>
      <c r="G74" t="s">
        <v>263</v>
      </c>
      <c r="L74" s="116"/>
      <c r="M74" s="116"/>
    </row>
    <row r="75" spans="1:13" x14ac:dyDescent="0.3">
      <c r="A75" s="110"/>
      <c r="B75" s="110"/>
      <c r="C75" s="110"/>
      <c r="E75" t="s">
        <v>264</v>
      </c>
      <c r="F75" s="34">
        <v>8.4245999999999999</v>
      </c>
      <c r="G75" t="s">
        <v>15</v>
      </c>
      <c r="L75" s="116"/>
      <c r="M75" s="116"/>
    </row>
    <row r="76" spans="1:13" x14ac:dyDescent="0.3">
      <c r="A76" s="110"/>
      <c r="B76" s="110"/>
      <c r="C76" s="110"/>
      <c r="E76" t="s">
        <v>265</v>
      </c>
      <c r="F76" s="34">
        <v>3.3698399999999999</v>
      </c>
      <c r="G76" t="s">
        <v>15</v>
      </c>
      <c r="L76" s="116"/>
      <c r="M76" s="116"/>
    </row>
    <row r="77" spans="1:13" x14ac:dyDescent="0.3">
      <c r="A77" s="110"/>
      <c r="B77" s="110"/>
      <c r="C77" s="110"/>
      <c r="E77" t="s">
        <v>266</v>
      </c>
      <c r="F77" s="34">
        <v>0.33698400000000001</v>
      </c>
      <c r="G77" t="s">
        <v>15</v>
      </c>
      <c r="L77" s="116"/>
      <c r="M77" s="116"/>
    </row>
    <row r="78" spans="1:13" ht="16.2" x14ac:dyDescent="0.3">
      <c r="A78" s="110"/>
      <c r="B78" s="110"/>
      <c r="C78" s="110"/>
      <c r="E78" t="s">
        <v>267</v>
      </c>
      <c r="F78" s="41">
        <f>F75*F76*F77</f>
        <v>9.5668254867029763</v>
      </c>
      <c r="G78" t="s">
        <v>242</v>
      </c>
      <c r="L78" s="116"/>
      <c r="M78" s="116"/>
    </row>
    <row r="79" spans="1:13" x14ac:dyDescent="0.3">
      <c r="A79" s="109" t="s">
        <v>268</v>
      </c>
      <c r="B79" s="69">
        <f>0.31*(O12^1.33)</f>
        <v>41.88914367283185</v>
      </c>
      <c r="C79" s="55" t="s">
        <v>70</v>
      </c>
      <c r="D79" s="66"/>
      <c r="E79" s="109" t="s">
        <v>269</v>
      </c>
      <c r="F79" s="55">
        <f>F74*F78*F43*2</f>
        <v>7653.4603893623807</v>
      </c>
      <c r="G79" s="55" t="s">
        <v>70</v>
      </c>
      <c r="H79" s="66"/>
      <c r="I79" s="66"/>
      <c r="J79" s="66"/>
      <c r="K79" s="66"/>
      <c r="L79" s="116"/>
      <c r="M79" s="116"/>
    </row>
    <row r="80" spans="1:13" x14ac:dyDescent="0.3">
      <c r="A80" s="109"/>
      <c r="B80" s="69">
        <f>CONVERT(B79,"lbm","g")/1000</f>
        <v>19.000595955830303</v>
      </c>
      <c r="C80" s="55" t="s">
        <v>69</v>
      </c>
      <c r="D80" s="66"/>
      <c r="E80" s="109"/>
      <c r="F80" s="69">
        <f>CONVERT(F79,"lbm","g")/1000</f>
        <v>3471.551236712005</v>
      </c>
      <c r="G80" s="55" t="s">
        <v>69</v>
      </c>
      <c r="H80" s="66"/>
      <c r="I80" s="66"/>
      <c r="J80" s="66"/>
      <c r="K80" s="66"/>
      <c r="L80" s="116"/>
      <c r="M80" s="116"/>
    </row>
    <row r="84" spans="1:5" ht="15" thickBot="1" x14ac:dyDescent="0.35"/>
    <row r="85" spans="1:5" x14ac:dyDescent="0.3">
      <c r="A85" s="100" t="s">
        <v>270</v>
      </c>
      <c r="B85" s="40"/>
      <c r="C85" s="9"/>
    </row>
    <row r="86" spans="1:5" ht="15.6" x14ac:dyDescent="0.35">
      <c r="A86" s="10" t="s">
        <v>271</v>
      </c>
      <c r="B86" s="32">
        <f>IF(G25=TRUE,1.143,1)</f>
        <v>1</v>
      </c>
      <c r="C86" s="11" t="s">
        <v>13</v>
      </c>
    </row>
    <row r="87" spans="1:5" x14ac:dyDescent="0.3">
      <c r="A87" s="10" t="s">
        <v>272</v>
      </c>
      <c r="B87" s="32">
        <f>0.3*F24</f>
        <v>19.539903159922435</v>
      </c>
      <c r="C87" s="11" t="s">
        <v>13</v>
      </c>
      <c r="E87" s="1"/>
    </row>
    <row r="88" spans="1:5" ht="15.6" x14ac:dyDescent="0.35">
      <c r="A88" s="10" t="s">
        <v>273</v>
      </c>
      <c r="B88" s="32">
        <f>IF(K24=TRUE,1,0)</f>
        <v>1</v>
      </c>
      <c r="C88" s="11" t="s">
        <v>13</v>
      </c>
    </row>
    <row r="89" spans="1:5" ht="15.6" x14ac:dyDescent="0.35">
      <c r="A89" s="10" t="s">
        <v>274</v>
      </c>
      <c r="B89" s="32">
        <f>F24</f>
        <v>65.133010533074781</v>
      </c>
      <c r="C89" s="11" t="s">
        <v>13</v>
      </c>
    </row>
    <row r="90" spans="1:5" ht="15.6" x14ac:dyDescent="0.35">
      <c r="A90" s="10" t="s">
        <v>275</v>
      </c>
      <c r="B90" s="32">
        <v>1.1200000000000001</v>
      </c>
      <c r="C90" s="11" t="s">
        <v>13</v>
      </c>
    </row>
    <row r="91" spans="1:5" ht="15.6" x14ac:dyDescent="0.35">
      <c r="A91" s="10" t="s">
        <v>276</v>
      </c>
      <c r="B91" s="32">
        <f>IF(G37=TRUE,1.12,1)</f>
        <v>1</v>
      </c>
      <c r="C91" s="11" t="s">
        <v>13</v>
      </c>
    </row>
    <row r="92" spans="1:5" ht="15.6" x14ac:dyDescent="0.35">
      <c r="A92" s="10" t="s">
        <v>277</v>
      </c>
      <c r="B92" s="32">
        <f>0.75*((1+(2*B13))/(1+B13))*(B14*(TAN(B17/B31)))</f>
        <v>0</v>
      </c>
      <c r="C92" s="11" t="s">
        <v>13</v>
      </c>
    </row>
    <row r="93" spans="1:5" ht="15.6" x14ac:dyDescent="0.35">
      <c r="A93" s="10" t="s">
        <v>278</v>
      </c>
      <c r="B93" s="32">
        <f>IF(G36=TRUE,1.126,1)</f>
        <v>1</v>
      </c>
      <c r="C93" s="11" t="s">
        <v>13</v>
      </c>
    </row>
    <row r="94" spans="1:5" ht="15.6" x14ac:dyDescent="0.35">
      <c r="A94" s="10" t="s">
        <v>279</v>
      </c>
      <c r="B94" s="32">
        <f>IF(K34=TRUE,1.15,1)</f>
        <v>1</v>
      </c>
      <c r="C94" s="11" t="s">
        <v>13</v>
      </c>
    </row>
    <row r="95" spans="1:5" ht="15.6" x14ac:dyDescent="0.35">
      <c r="A95" s="10" t="s">
        <v>280</v>
      </c>
      <c r="B95" s="32">
        <f>IF(C45=TRUE,1.017,1)</f>
        <v>1</v>
      </c>
      <c r="C95" s="11" t="s">
        <v>13</v>
      </c>
    </row>
    <row r="96" spans="1:5" ht="15.6" x14ac:dyDescent="0.35">
      <c r="A96" s="10" t="s">
        <v>281</v>
      </c>
      <c r="B96" s="32">
        <f>IF(G47=TRUE,1.4,1)</f>
        <v>1.4</v>
      </c>
      <c r="C96" s="11" t="s">
        <v>13</v>
      </c>
    </row>
    <row r="97" spans="1:3" ht="15.6" x14ac:dyDescent="0.35">
      <c r="A97" s="10" t="s">
        <v>282</v>
      </c>
      <c r="B97" s="32">
        <f>IF(G46=TRUE,1.18,1)</f>
        <v>1</v>
      </c>
      <c r="C97" s="11" t="s">
        <v>13</v>
      </c>
    </row>
    <row r="98" spans="1:3" ht="15.6" x14ac:dyDescent="0.35">
      <c r="A98" s="10" t="s">
        <v>283</v>
      </c>
      <c r="B98" s="32">
        <f>IF(G45=TRUE,1.133,1)</f>
        <v>1</v>
      </c>
      <c r="C98" s="11" t="s">
        <v>13</v>
      </c>
    </row>
    <row r="99" spans="1:3" ht="15.6" x14ac:dyDescent="0.35">
      <c r="A99" s="10" t="s">
        <v>284</v>
      </c>
      <c r="B99" s="32">
        <f>IF(G48=TRUE,0.793,1)</f>
        <v>0.79300000000000004</v>
      </c>
      <c r="C99" s="11" t="s">
        <v>13</v>
      </c>
    </row>
    <row r="100" spans="1:3" ht="16.8" thickBot="1" x14ac:dyDescent="0.35">
      <c r="A100" s="13" t="s">
        <v>22</v>
      </c>
      <c r="B100" s="51">
        <v>9.81</v>
      </c>
      <c r="C100" s="17" t="s">
        <v>23</v>
      </c>
    </row>
  </sheetData>
  <mergeCells count="93">
    <mergeCell ref="N16:X17"/>
    <mergeCell ref="Y9:Y17"/>
    <mergeCell ref="I35:I38"/>
    <mergeCell ref="K35:K38"/>
    <mergeCell ref="J35:J38"/>
    <mergeCell ref="R11:T11"/>
    <mergeCell ref="V11:X11"/>
    <mergeCell ref="N9:X10"/>
    <mergeCell ref="N11:P11"/>
    <mergeCell ref="A1:C3"/>
    <mergeCell ref="A11:C11"/>
    <mergeCell ref="E11:G11"/>
    <mergeCell ref="A9:K10"/>
    <mergeCell ref="I30:K30"/>
    <mergeCell ref="E30:G30"/>
    <mergeCell ref="A30:C30"/>
    <mergeCell ref="E28:E29"/>
    <mergeCell ref="I11:K11"/>
    <mergeCell ref="A28:A29"/>
    <mergeCell ref="A51:C51"/>
    <mergeCell ref="E51:G51"/>
    <mergeCell ref="I51:K51"/>
    <mergeCell ref="I42:K42"/>
    <mergeCell ref="E42:G42"/>
    <mergeCell ref="A42:C42"/>
    <mergeCell ref="K43:K48"/>
    <mergeCell ref="E40:E41"/>
    <mergeCell ref="A40:A41"/>
    <mergeCell ref="I49:I50"/>
    <mergeCell ref="E49:E50"/>
    <mergeCell ref="A49:A50"/>
    <mergeCell ref="E66:E67"/>
    <mergeCell ref="A66:A67"/>
    <mergeCell ref="A71:A72"/>
    <mergeCell ref="E71:E72"/>
    <mergeCell ref="I68:K68"/>
    <mergeCell ref="I71:I72"/>
    <mergeCell ref="A68:C70"/>
    <mergeCell ref="E68:G70"/>
    <mergeCell ref="E56:E57"/>
    <mergeCell ref="A56:A57"/>
    <mergeCell ref="E63:G63"/>
    <mergeCell ref="I63:K63"/>
    <mergeCell ref="I56:I57"/>
    <mergeCell ref="I58:K58"/>
    <mergeCell ref="E58:G58"/>
    <mergeCell ref="I59:I60"/>
    <mergeCell ref="J59:J60"/>
    <mergeCell ref="K59:K60"/>
    <mergeCell ref="A59:A60"/>
    <mergeCell ref="B59:B60"/>
    <mergeCell ref="C59:C60"/>
    <mergeCell ref="A58:C58"/>
    <mergeCell ref="E61:E62"/>
    <mergeCell ref="A61:A62"/>
    <mergeCell ref="T4:T5"/>
    <mergeCell ref="T6:T7"/>
    <mergeCell ref="D1:E3"/>
    <mergeCell ref="G6:G7"/>
    <mergeCell ref="R4:R7"/>
    <mergeCell ref="S6:S7"/>
    <mergeCell ref="S4:S5"/>
    <mergeCell ref="F4:F5"/>
    <mergeCell ref="G4:G5"/>
    <mergeCell ref="E4:E7"/>
    <mergeCell ref="F6:F7"/>
    <mergeCell ref="I52:I55"/>
    <mergeCell ref="J52:J55"/>
    <mergeCell ref="K52:K55"/>
    <mergeCell ref="L9:M80"/>
    <mergeCell ref="I64:I65"/>
    <mergeCell ref="K64:K65"/>
    <mergeCell ref="J64:J65"/>
    <mergeCell ref="I66:I67"/>
    <mergeCell ref="I61:I62"/>
    <mergeCell ref="I28:I29"/>
    <mergeCell ref="I40:I41"/>
    <mergeCell ref="E73:G73"/>
    <mergeCell ref="E79:E80"/>
    <mergeCell ref="A73:C78"/>
    <mergeCell ref="I43:I48"/>
    <mergeCell ref="J43:J48"/>
    <mergeCell ref="A79:A80"/>
    <mergeCell ref="A64:A65"/>
    <mergeCell ref="C64:C65"/>
    <mergeCell ref="B64:B65"/>
    <mergeCell ref="E64:E65"/>
    <mergeCell ref="G64:G65"/>
    <mergeCell ref="F64:F65"/>
    <mergeCell ref="E59:E60"/>
    <mergeCell ref="F59:F60"/>
    <mergeCell ref="G59:G60"/>
    <mergeCell ref="A63:C6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eck Box 1">
              <controlPr defaultSize="0" autoFill="0" autoLine="0" autoPict="0">
                <anchor moveWithCells="1">
                  <from>
                    <xdr:col>5</xdr:col>
                    <xdr:colOff>182880</xdr:colOff>
                    <xdr:row>34</xdr:row>
                    <xdr:rowOff>182880</xdr:rowOff>
                  </from>
                  <to>
                    <xdr:col>5</xdr:col>
                    <xdr:colOff>426720</xdr:colOff>
                    <xdr:row>36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Check Box 3">
              <controlPr defaultSize="0" autoFill="0" autoLine="0" autoPict="0">
                <anchor moveWithCells="1">
                  <from>
                    <xdr:col>9</xdr:col>
                    <xdr:colOff>182880</xdr:colOff>
                    <xdr:row>32</xdr:row>
                    <xdr:rowOff>182880</xdr:rowOff>
                  </from>
                  <to>
                    <xdr:col>9</xdr:col>
                    <xdr:colOff>426720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5" name="Check Box 11">
              <controlPr defaultSize="0" autoFill="0" autoLine="0" autoPict="0">
                <anchor moveWithCells="1">
                  <from>
                    <xdr:col>5</xdr:col>
                    <xdr:colOff>182880</xdr:colOff>
                    <xdr:row>44</xdr:row>
                    <xdr:rowOff>198120</xdr:rowOff>
                  </from>
                  <to>
                    <xdr:col>5</xdr:col>
                    <xdr:colOff>426720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Check Box 12">
              <controlPr defaultSize="0" autoFill="0" autoLine="0" autoPict="0">
                <anchor moveWithCells="1">
                  <from>
                    <xdr:col>5</xdr:col>
                    <xdr:colOff>182880</xdr:colOff>
                    <xdr:row>44</xdr:row>
                    <xdr:rowOff>7620</xdr:rowOff>
                  </from>
                  <to>
                    <xdr:col>5</xdr:col>
                    <xdr:colOff>426720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Check Box 13">
              <controlPr defaultSize="0" autoFill="0" autoLine="0" autoPict="0">
                <anchor moveWithCells="1">
                  <from>
                    <xdr:col>5</xdr:col>
                    <xdr:colOff>182880</xdr:colOff>
                    <xdr:row>45</xdr:row>
                    <xdr:rowOff>175260</xdr:rowOff>
                  </from>
                  <to>
                    <xdr:col>5</xdr:col>
                    <xdr:colOff>426720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8" name="Check Box 14">
              <controlPr defaultSize="0" autoFill="0" autoLine="0" autoPict="0">
                <anchor moveWithCells="1">
                  <from>
                    <xdr:col>5</xdr:col>
                    <xdr:colOff>205740</xdr:colOff>
                    <xdr:row>23</xdr:row>
                    <xdr:rowOff>182880</xdr:rowOff>
                  </from>
                  <to>
                    <xdr:col>5</xdr:col>
                    <xdr:colOff>944880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Check Box 15">
              <controlPr defaultSize="0" autoFill="0" autoLine="0" autoPict="0">
                <anchor moveWithCells="1">
                  <from>
                    <xdr:col>9</xdr:col>
                    <xdr:colOff>205740</xdr:colOff>
                    <xdr:row>22</xdr:row>
                    <xdr:rowOff>190500</xdr:rowOff>
                  </from>
                  <to>
                    <xdr:col>9</xdr:col>
                    <xdr:colOff>449580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Check Box 17">
              <controlPr defaultSize="0" autoFill="0" autoLine="0" autoPict="0">
                <anchor moveWithCells="1">
                  <from>
                    <xdr:col>5</xdr:col>
                    <xdr:colOff>182880</xdr:colOff>
                    <xdr:row>36</xdr:row>
                    <xdr:rowOff>0</xdr:rowOff>
                  </from>
                  <to>
                    <xdr:col>5</xdr:col>
                    <xdr:colOff>426720</xdr:colOff>
                    <xdr:row>37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1" name="Check Box 22">
              <controlPr defaultSize="0" autoFill="0" autoLine="0" autoPict="0">
                <anchor moveWithCells="1">
                  <from>
                    <xdr:col>5</xdr:col>
                    <xdr:colOff>182880</xdr:colOff>
                    <xdr:row>47</xdr:row>
                    <xdr:rowOff>0</xdr:rowOff>
                  </from>
                  <to>
                    <xdr:col>5</xdr:col>
                    <xdr:colOff>426720</xdr:colOff>
                    <xdr:row>48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2" name="Check Box 23">
              <controlPr defaultSize="0" autoFill="0" autoLine="0" autoPict="0">
                <anchor moveWithCells="1">
                  <from>
                    <xdr:col>1</xdr:col>
                    <xdr:colOff>304800</xdr:colOff>
                    <xdr:row>43</xdr:row>
                    <xdr:rowOff>175260</xdr:rowOff>
                  </from>
                  <to>
                    <xdr:col>1</xdr:col>
                    <xdr:colOff>640080</xdr:colOff>
                    <xdr:row>45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6D7C-81FB-4C68-8C62-198CD303A940}">
  <sheetPr codeName="Sheet5">
    <outlinePr summaryBelow="0" summaryRight="0"/>
  </sheetPr>
  <dimension ref="A1:K64"/>
  <sheetViews>
    <sheetView workbookViewId="0">
      <selection activeCell="D20" sqref="D20"/>
    </sheetView>
  </sheetViews>
  <sheetFormatPr defaultColWidth="12.6640625" defaultRowHeight="15.75" customHeight="1" x14ac:dyDescent="0.3"/>
  <cols>
    <col min="1" max="1" width="37.88671875" style="74" customWidth="1"/>
    <col min="2" max="2" width="16.33203125" style="74" customWidth="1"/>
    <col min="3" max="3" width="13" style="74" customWidth="1"/>
    <col min="4" max="4" width="7.6640625" style="74" customWidth="1"/>
    <col min="5" max="5" width="20.6640625" style="74" customWidth="1"/>
    <col min="6" max="16384" width="12.6640625" style="74"/>
  </cols>
  <sheetData>
    <row r="1" spans="1:11" ht="15.75" customHeight="1" x14ac:dyDescent="0.3">
      <c r="A1" s="137" t="s">
        <v>285</v>
      </c>
      <c r="B1" s="137"/>
      <c r="C1" s="137"/>
      <c r="K1" s="78"/>
    </row>
    <row r="2" spans="1:11" ht="15.75" customHeight="1" x14ac:dyDescent="0.3">
      <c r="A2" s="137"/>
      <c r="B2" s="137"/>
      <c r="C2" s="137"/>
      <c r="E2" s="34"/>
      <c r="F2" s="1" t="s">
        <v>4</v>
      </c>
      <c r="K2" s="78"/>
    </row>
    <row r="3" spans="1:11" ht="15.75" customHeight="1" x14ac:dyDescent="0.3">
      <c r="A3" s="137"/>
      <c r="B3" s="137"/>
      <c r="C3" s="137"/>
      <c r="E3" s="32"/>
      <c r="F3" s="1" t="s">
        <v>10</v>
      </c>
      <c r="K3" s="78"/>
    </row>
    <row r="4" spans="1:11" ht="15.75" customHeight="1" x14ac:dyDescent="0.3">
      <c r="K4" s="78"/>
    </row>
    <row r="5" spans="1:11" ht="15.75" customHeight="1" x14ac:dyDescent="0.3">
      <c r="A5" s="75" t="s">
        <v>286</v>
      </c>
      <c r="B5" s="76" t="s">
        <v>287</v>
      </c>
      <c r="C5" s="75" t="s">
        <v>288</v>
      </c>
      <c r="D5" s="77"/>
      <c r="E5" s="134" t="s">
        <v>289</v>
      </c>
      <c r="F5" s="135"/>
      <c r="G5" s="135"/>
      <c r="H5" s="135"/>
      <c r="I5" s="135"/>
      <c r="J5" s="135"/>
      <c r="K5" s="78"/>
    </row>
    <row r="6" spans="1:11" ht="15.75" customHeight="1" x14ac:dyDescent="0.3">
      <c r="A6" s="77" t="s">
        <v>290</v>
      </c>
      <c r="B6" s="88">
        <f>Sizing!B64*Sizing!I9</f>
        <v>166816.32334837195</v>
      </c>
      <c r="C6" s="77" t="s">
        <v>291</v>
      </c>
      <c r="D6" s="77"/>
      <c r="E6" s="79"/>
      <c r="F6" s="79" t="s">
        <v>176</v>
      </c>
      <c r="G6" s="79" t="s">
        <v>185</v>
      </c>
      <c r="H6" s="79" t="s">
        <v>292</v>
      </c>
      <c r="I6" s="79" t="s">
        <v>293</v>
      </c>
      <c r="J6" s="79" t="s">
        <v>190</v>
      </c>
      <c r="K6" s="78"/>
    </row>
    <row r="7" spans="1:11" ht="15.75" customHeight="1" x14ac:dyDescent="0.3">
      <c r="A7" s="77" t="s">
        <v>294</v>
      </c>
      <c r="B7" s="88">
        <f>Sizing!B41*Sizing!I9</f>
        <v>390936.68999128847</v>
      </c>
      <c r="C7" s="77" t="s">
        <v>291</v>
      </c>
      <c r="D7" s="77"/>
      <c r="E7" s="79" t="s">
        <v>14</v>
      </c>
      <c r="F7" s="80">
        <f>0.455/LOG10(B38)^2.58</f>
        <v>2.7595354819763651E-3</v>
      </c>
      <c r="G7" s="80">
        <f>0.455/LOG10(B40)^2.58</f>
        <v>1.9621099583784518E-3</v>
      </c>
      <c r="H7" s="80">
        <f>0.455/LOG10(B42)^2.58</f>
        <v>2.9411275276876882E-3</v>
      </c>
      <c r="I7" s="80">
        <f>0.455/LOG10(B44)^2.58</f>
        <v>2.717534201424811E-3</v>
      </c>
      <c r="J7" s="80">
        <f>0.455/LOG10(B46)^2.58</f>
        <v>3.2405732911092366E-3</v>
      </c>
      <c r="K7" s="78"/>
    </row>
    <row r="8" spans="1:11" ht="15.75" customHeight="1" x14ac:dyDescent="0.3">
      <c r="A8" s="77" t="s">
        <v>295</v>
      </c>
      <c r="B8" s="89">
        <f>B7/B15/B20</f>
        <v>0.61969846146594387</v>
      </c>
      <c r="C8" s="77" t="s">
        <v>13</v>
      </c>
      <c r="D8" s="77"/>
      <c r="E8" s="79" t="s">
        <v>296</v>
      </c>
      <c r="F8" s="80">
        <f>0.455/LOG10(B39)^2.58</f>
        <v>2.6563725642201243E-3</v>
      </c>
      <c r="G8" s="80">
        <f>0.455/LOG10(B41)^2.58</f>
        <v>1.8976321632322808E-3</v>
      </c>
      <c r="H8" s="80">
        <f>0.455/LOG10(B43)^2.58</f>
        <v>2.8284997495566992E-3</v>
      </c>
      <c r="I8" s="80">
        <f>0.455/LOG10(B45)^2.58</f>
        <v>2.6165279695363913E-3</v>
      </c>
      <c r="J8" s="80">
        <f>0.455/LOG10(B47)^2.58</f>
        <v>3.1118582742075099E-3</v>
      </c>
      <c r="K8" s="78"/>
    </row>
    <row r="9" spans="1:11" ht="15.75" customHeight="1" x14ac:dyDescent="0.3">
      <c r="A9" s="77" t="s">
        <v>297</v>
      </c>
      <c r="B9" s="81">
        <v>0.54894600000000005</v>
      </c>
      <c r="C9" s="77" t="s">
        <v>298</v>
      </c>
      <c r="D9" s="77"/>
      <c r="E9" s="78"/>
      <c r="F9" s="78"/>
      <c r="G9" s="78"/>
      <c r="H9" s="78"/>
      <c r="I9" s="78"/>
      <c r="J9" s="78"/>
      <c r="K9" s="78"/>
    </row>
    <row r="10" spans="1:11" ht="15.75" customHeight="1" x14ac:dyDescent="0.3">
      <c r="A10" s="77" t="s">
        <v>299</v>
      </c>
      <c r="B10" s="81">
        <v>1.2250000000000001</v>
      </c>
      <c r="C10" s="77" t="s">
        <v>298</v>
      </c>
      <c r="D10" s="77"/>
      <c r="E10" s="136" t="s">
        <v>300</v>
      </c>
      <c r="F10" s="136"/>
      <c r="G10" s="136"/>
      <c r="H10" s="136"/>
      <c r="I10" s="136"/>
      <c r="J10" s="136"/>
      <c r="K10" s="78"/>
    </row>
    <row r="11" spans="1:11" ht="15.75" customHeight="1" x14ac:dyDescent="0.3">
      <c r="A11" s="77" t="s">
        <v>301</v>
      </c>
      <c r="B11" s="90">
        <f>CONVERT(Sizing!F11,"kn","m/sec")</f>
        <v>136.32777777777778</v>
      </c>
      <c r="C11" s="77" t="s">
        <v>302</v>
      </c>
      <c r="D11" s="77"/>
      <c r="E11" s="79"/>
      <c r="F11" s="79" t="s">
        <v>176</v>
      </c>
      <c r="G11" s="79" t="s">
        <v>185</v>
      </c>
      <c r="H11" s="79" t="s">
        <v>292</v>
      </c>
      <c r="I11" s="79" t="s">
        <v>293</v>
      </c>
      <c r="J11" s="79" t="s">
        <v>190</v>
      </c>
      <c r="K11" s="78"/>
    </row>
    <row r="12" spans="1:11" ht="15.75" customHeight="1" x14ac:dyDescent="0.3">
      <c r="A12" s="77" t="s">
        <v>303</v>
      </c>
      <c r="B12" s="89">
        <f>SQRT(2*B7/(B8*B10*B20))</f>
        <v>91.260138511567945</v>
      </c>
      <c r="C12" s="77" t="s">
        <v>302</v>
      </c>
      <c r="D12" s="82"/>
      <c r="E12" s="79" t="s">
        <v>14</v>
      </c>
      <c r="F12" s="80">
        <f>B54*B59*F7*B50/B20</f>
        <v>7.5586071976149307E-3</v>
      </c>
      <c r="G12" s="83">
        <f>B55*G7*B49/B20</f>
        <v>4.5362547927841352E-3</v>
      </c>
      <c r="H12" s="80">
        <f>B56*B51*B61*H7/B20</f>
        <v>1.0446209717098072E-3</v>
      </c>
      <c r="I12" s="80">
        <f>B57*B52*B61*I7/B20</f>
        <v>8.7394415349516859E-4</v>
      </c>
      <c r="J12" s="80">
        <f>4*B53*J7*B59*B58/B20</f>
        <v>4.4327334330713169E-4</v>
      </c>
      <c r="K12" s="78"/>
    </row>
    <row r="13" spans="1:11" ht="15.75" customHeight="1" x14ac:dyDescent="0.3">
      <c r="A13" s="77" t="s">
        <v>304</v>
      </c>
      <c r="B13" s="84">
        <v>1.55414E-5</v>
      </c>
      <c r="C13" s="77" t="s">
        <v>305</v>
      </c>
      <c r="D13" s="82"/>
      <c r="E13" s="79" t="s">
        <v>296</v>
      </c>
      <c r="F13" s="83">
        <f>B54*B59*F8*B50/B20</f>
        <v>7.2760350119074968E-3</v>
      </c>
      <c r="G13" s="83">
        <f>B55*G8*B49/B20</f>
        <v>4.3871868437576223E-3</v>
      </c>
      <c r="H13" s="83">
        <f>B56*B51*B61*H8/B20</f>
        <v>1.0046181707686289E-3</v>
      </c>
      <c r="I13" s="83">
        <f>B57*B52*B61*I8/B20</f>
        <v>8.414611011092302E-4</v>
      </c>
      <c r="J13" s="83">
        <f>4*B53*J8*B59*B58/B20</f>
        <v>4.2566660192208119E-4</v>
      </c>
      <c r="K13" s="78"/>
    </row>
    <row r="14" spans="1:11" ht="15.75" customHeight="1" x14ac:dyDescent="0.3">
      <c r="A14" s="77" t="s">
        <v>306</v>
      </c>
      <c r="B14" s="84">
        <v>1.8120600000000001E-5</v>
      </c>
      <c r="C14" s="77" t="s">
        <v>305</v>
      </c>
      <c r="D14" s="77"/>
      <c r="E14" s="79"/>
      <c r="F14" s="79"/>
      <c r="G14" s="79"/>
      <c r="H14" s="79"/>
      <c r="I14" s="79"/>
      <c r="J14" s="79"/>
      <c r="K14" s="78"/>
    </row>
    <row r="15" spans="1:11" ht="15.75" customHeight="1" x14ac:dyDescent="0.3">
      <c r="A15" s="77" t="s">
        <v>307</v>
      </c>
      <c r="B15" s="91">
        <f>1/2*B9*B11^2</f>
        <v>5101.1528897047228</v>
      </c>
      <c r="C15" s="77" t="s">
        <v>308</v>
      </c>
      <c r="D15" s="77"/>
      <c r="E15" s="75" t="s">
        <v>286</v>
      </c>
      <c r="F15" s="75" t="s">
        <v>287</v>
      </c>
      <c r="G15" s="75" t="s">
        <v>288</v>
      </c>
      <c r="H15" s="79"/>
      <c r="I15" s="79"/>
      <c r="J15" s="79"/>
      <c r="K15" s="78"/>
    </row>
    <row r="16" spans="1:11" ht="15.75" customHeight="1" x14ac:dyDescent="0.3">
      <c r="A16" s="77" t="s">
        <v>309</v>
      </c>
      <c r="B16" s="91">
        <f t="shared" ref="B16" si="0">1/2*B10*B12^2</f>
        <v>5101.1528897047228</v>
      </c>
      <c r="C16" s="77" t="s">
        <v>308</v>
      </c>
      <c r="D16" s="77"/>
      <c r="E16" s="79" t="s">
        <v>310</v>
      </c>
      <c r="F16" s="80">
        <f>SUM(F12:J12)*B62</f>
        <v>1.5902370504802293E-2</v>
      </c>
      <c r="G16" s="79" t="s">
        <v>13</v>
      </c>
      <c r="H16" s="79"/>
      <c r="I16" s="79"/>
      <c r="J16" s="79"/>
      <c r="K16" s="78"/>
    </row>
    <row r="17" spans="1:11" ht="15.75" customHeight="1" x14ac:dyDescent="0.3">
      <c r="A17" s="77" t="s">
        <v>311</v>
      </c>
      <c r="B17" s="88">
        <f>CONVERT(Weights!B20,"ft","m")</f>
        <v>3.5582770350408457</v>
      </c>
      <c r="C17" s="77" t="s">
        <v>312</v>
      </c>
      <c r="D17" s="77"/>
      <c r="E17" s="79" t="s">
        <v>313</v>
      </c>
      <c r="F17" s="80">
        <f>SUM(F13:J13)*B62</f>
        <v>1.5328464502411569E-2</v>
      </c>
      <c r="G17" s="79" t="s">
        <v>13</v>
      </c>
      <c r="H17" s="79"/>
      <c r="I17" s="79"/>
      <c r="J17" s="79"/>
      <c r="K17" s="78"/>
    </row>
    <row r="18" spans="1:11" ht="15.75" customHeight="1" x14ac:dyDescent="0.3">
      <c r="A18" s="77" t="s">
        <v>314</v>
      </c>
      <c r="B18" s="88">
        <f>CONVERT(Weights!B14,"ft","m")</f>
        <v>36.88291003628877</v>
      </c>
      <c r="C18" s="77" t="s">
        <v>312</v>
      </c>
      <c r="D18" s="77"/>
      <c r="E18" s="79" t="s">
        <v>315</v>
      </c>
      <c r="F18" s="80">
        <f>B8^2/(PI()*B22*B63)</f>
        <v>1.52031075410058E-2</v>
      </c>
      <c r="G18" s="79" t="s">
        <v>13</v>
      </c>
      <c r="H18" s="79"/>
      <c r="I18" s="79"/>
      <c r="J18" s="79"/>
      <c r="K18" s="78"/>
    </row>
    <row r="19" spans="1:11" ht="15.75" customHeight="1" x14ac:dyDescent="0.3">
      <c r="A19" s="77" t="s">
        <v>316</v>
      </c>
      <c r="B19" s="85">
        <f>CONVERT(Weights!B22,"ft","m")</f>
        <v>0.47899883164011392</v>
      </c>
      <c r="C19" s="77" t="s">
        <v>312</v>
      </c>
      <c r="D19" s="77"/>
      <c r="E19" s="79" t="s">
        <v>317</v>
      </c>
      <c r="F19" s="80">
        <f>F16+F18</f>
        <v>3.1105478045808092E-2</v>
      </c>
      <c r="G19" s="79" t="s">
        <v>13</v>
      </c>
      <c r="H19" s="79"/>
      <c r="I19" s="79"/>
      <c r="J19" s="79"/>
      <c r="K19" s="78"/>
    </row>
    <row r="20" spans="1:11" ht="15.75" customHeight="1" x14ac:dyDescent="0.3">
      <c r="A20" s="77" t="s">
        <v>318</v>
      </c>
      <c r="B20" s="90">
        <f>CONVERT(Weights!B15,"ft^2","m^2")</f>
        <v>123.66809570408823</v>
      </c>
      <c r="C20" s="77" t="s">
        <v>319</v>
      </c>
      <c r="D20" s="77"/>
      <c r="E20" s="79" t="s">
        <v>320</v>
      </c>
      <c r="F20" s="80">
        <f>F17+F18</f>
        <v>3.0531572043417367E-2</v>
      </c>
      <c r="G20" s="79" t="s">
        <v>13</v>
      </c>
      <c r="H20" s="79"/>
      <c r="I20" s="79"/>
      <c r="J20" s="79"/>
      <c r="K20" s="78"/>
    </row>
    <row r="21" spans="1:11" ht="15.75" customHeight="1" x14ac:dyDescent="0.3">
      <c r="A21" s="77" t="s">
        <v>321</v>
      </c>
      <c r="B21" s="92">
        <f>B19/B17</f>
        <v>0.13461538461538464</v>
      </c>
      <c r="C21" s="77"/>
      <c r="D21" s="77"/>
      <c r="E21" s="86" t="s">
        <v>322</v>
      </c>
      <c r="F21" s="87">
        <f>F19*B15*B20</f>
        <v>19622.886587549139</v>
      </c>
      <c r="G21" s="86" t="s">
        <v>291</v>
      </c>
      <c r="H21" s="79"/>
      <c r="I21" s="79"/>
      <c r="J21" s="79"/>
      <c r="K21" s="78"/>
    </row>
    <row r="22" spans="1:11" ht="15.75" customHeight="1" x14ac:dyDescent="0.3">
      <c r="A22" s="77" t="s">
        <v>91</v>
      </c>
      <c r="B22" s="90">
        <f>Weights!B12</f>
        <v>11</v>
      </c>
      <c r="C22" s="77"/>
      <c r="D22" s="77"/>
      <c r="E22" s="86" t="s">
        <v>323</v>
      </c>
      <c r="F22" s="87">
        <f>F20*B20*B16</f>
        <v>19260.838064126929</v>
      </c>
      <c r="G22" s="86" t="s">
        <v>291</v>
      </c>
      <c r="H22" s="77"/>
      <c r="I22" s="77"/>
      <c r="J22" s="77"/>
      <c r="K22" s="78"/>
    </row>
    <row r="23" spans="1:11" ht="15.75" customHeight="1" x14ac:dyDescent="0.3">
      <c r="A23" s="77" t="s">
        <v>324</v>
      </c>
      <c r="B23" s="88">
        <f>CONVERT(Weights!B32,"ft","m")</f>
        <v>37.457625680153193</v>
      </c>
      <c r="C23" s="77" t="s">
        <v>312</v>
      </c>
      <c r="D23" s="77"/>
      <c r="E23" s="78"/>
      <c r="F23" s="78"/>
      <c r="G23" s="78"/>
      <c r="H23" s="78"/>
      <c r="I23" s="78"/>
      <c r="J23" s="78"/>
      <c r="K23" s="78"/>
    </row>
    <row r="24" spans="1:11" ht="15.75" customHeight="1" x14ac:dyDescent="0.3">
      <c r="A24" s="77" t="s">
        <v>325</v>
      </c>
      <c r="B24" s="88">
        <f>CONVERT(Weights!B33,"ft","m")</f>
        <v>2.5999439999999998</v>
      </c>
      <c r="C24" s="77" t="s">
        <v>312</v>
      </c>
      <c r="D24" s="77"/>
      <c r="E24" s="78"/>
      <c r="F24" s="78"/>
      <c r="G24" s="78"/>
      <c r="H24" s="78"/>
      <c r="I24" s="78"/>
      <c r="J24" s="78"/>
      <c r="K24" s="78"/>
    </row>
    <row r="25" spans="1:11" ht="15.75" customHeight="1" x14ac:dyDescent="0.3">
      <c r="A25" s="77" t="s">
        <v>326</v>
      </c>
      <c r="B25" s="88">
        <f>CONVERT(Weights!F20,"ft","m")</f>
        <v>2.3699499844285028</v>
      </c>
      <c r="C25" s="77" t="s">
        <v>312</v>
      </c>
      <c r="D25" s="77"/>
      <c r="E25" s="77"/>
      <c r="F25" s="77"/>
      <c r="G25" s="77"/>
      <c r="H25" s="77"/>
      <c r="I25" s="77"/>
      <c r="J25" s="77"/>
      <c r="K25" s="78"/>
    </row>
    <row r="26" spans="1:11" ht="15.75" customHeight="1" x14ac:dyDescent="0.3">
      <c r="A26" s="77" t="s">
        <v>327</v>
      </c>
      <c r="B26" s="88">
        <f>CONVERT(Weights!F14,"ft","m")</f>
        <v>8.9328884028458937</v>
      </c>
      <c r="C26" s="77" t="s">
        <v>312</v>
      </c>
      <c r="D26" s="77"/>
      <c r="E26" s="77"/>
      <c r="F26" s="77"/>
      <c r="G26" s="77"/>
      <c r="H26" s="77"/>
      <c r="I26" s="77"/>
      <c r="J26" s="77"/>
      <c r="K26" s="78"/>
    </row>
    <row r="27" spans="1:11" ht="15.75" customHeight="1" x14ac:dyDescent="0.3">
      <c r="A27" s="77" t="s">
        <v>328</v>
      </c>
      <c r="B27" s="85">
        <f>CONVERT(Weights!F22,"ft","m")</f>
        <v>0.31903172867306773</v>
      </c>
      <c r="C27" s="77" t="s">
        <v>312</v>
      </c>
      <c r="D27" s="77"/>
      <c r="E27" s="77"/>
      <c r="F27" s="77"/>
      <c r="G27" s="77"/>
      <c r="H27" s="77"/>
      <c r="I27" s="77"/>
      <c r="J27" s="77"/>
      <c r="K27" s="78"/>
    </row>
    <row r="28" spans="1:11" ht="15.75" customHeight="1" x14ac:dyDescent="0.3">
      <c r="A28" s="77" t="s">
        <v>329</v>
      </c>
      <c r="B28" s="90">
        <f>CONVERT(Weights!F15,"ft^2","m^2")</f>
        <v>19.949123804424666</v>
      </c>
      <c r="C28" s="77" t="s">
        <v>319</v>
      </c>
      <c r="D28" s="77"/>
      <c r="E28" s="77"/>
      <c r="F28" s="77"/>
      <c r="G28" s="77"/>
      <c r="H28" s="77"/>
      <c r="I28" s="77"/>
      <c r="J28" s="77"/>
      <c r="K28" s="78"/>
    </row>
    <row r="29" spans="1:11" ht="15.75" customHeight="1" x14ac:dyDescent="0.3">
      <c r="A29" s="77" t="s">
        <v>330</v>
      </c>
      <c r="B29" s="92">
        <f>B27/B25</f>
        <v>0.13461538461538464</v>
      </c>
      <c r="C29" s="77"/>
      <c r="D29" s="77"/>
      <c r="E29" s="77"/>
      <c r="F29" s="77"/>
      <c r="G29" s="77"/>
      <c r="H29" s="77"/>
      <c r="I29" s="77"/>
      <c r="J29" s="77"/>
      <c r="K29" s="78"/>
    </row>
    <row r="30" spans="1:11" ht="15.75" customHeight="1" x14ac:dyDescent="0.3">
      <c r="A30" s="77" t="s">
        <v>331</v>
      </c>
      <c r="B30" s="88">
        <f>CONVERT(Weights!J20,"ft","m")</f>
        <v>3.9298076347840403</v>
      </c>
      <c r="C30" s="77" t="s">
        <v>312</v>
      </c>
      <c r="D30" s="77"/>
      <c r="E30" s="77"/>
      <c r="F30" s="77"/>
      <c r="G30" s="77"/>
      <c r="H30" s="77"/>
      <c r="I30" s="77"/>
      <c r="J30" s="77"/>
      <c r="K30" s="78"/>
    </row>
    <row r="31" spans="1:11" ht="15.75" customHeight="1" x14ac:dyDescent="0.3">
      <c r="A31" s="77" t="s">
        <v>332</v>
      </c>
      <c r="B31" s="88">
        <f>CONVERT(Weights!J14,"ft","m")</f>
        <v>4.6964422389468279</v>
      </c>
      <c r="C31" s="77" t="s">
        <v>312</v>
      </c>
      <c r="D31" s="77"/>
      <c r="E31" s="77"/>
      <c r="F31" s="77"/>
      <c r="G31" s="77"/>
      <c r="H31" s="77"/>
      <c r="I31" s="77"/>
      <c r="J31" s="77"/>
      <c r="K31" s="78"/>
    </row>
    <row r="32" spans="1:11" ht="15.75" customHeight="1" x14ac:dyDescent="0.3">
      <c r="A32" s="77" t="s">
        <v>333</v>
      </c>
      <c r="B32" s="85">
        <f>CONVERT(Weights!J22,"ft","m")</f>
        <v>0.43485576286544703</v>
      </c>
      <c r="C32" s="77" t="s">
        <v>312</v>
      </c>
      <c r="D32" s="77"/>
      <c r="E32" s="77"/>
      <c r="F32" s="77"/>
      <c r="G32" s="77"/>
      <c r="H32" s="77"/>
      <c r="I32" s="77"/>
      <c r="J32" s="77"/>
      <c r="K32" s="78"/>
    </row>
    <row r="33" spans="1:11" ht="15.75" customHeight="1" x14ac:dyDescent="0.3">
      <c r="A33" s="77" t="s">
        <v>334</v>
      </c>
      <c r="B33" s="90">
        <f>CONVERT(Weights!J15,"ft^2","m^2")</f>
        <v>18.380474753136575</v>
      </c>
      <c r="C33" s="77" t="s">
        <v>319</v>
      </c>
      <c r="D33" s="77"/>
      <c r="E33" s="77"/>
      <c r="F33" s="77"/>
      <c r="G33" s="77"/>
      <c r="H33" s="77"/>
      <c r="I33" s="77"/>
      <c r="J33" s="77"/>
      <c r="K33" s="78"/>
    </row>
    <row r="34" spans="1:11" ht="15.75" customHeight="1" x14ac:dyDescent="0.3">
      <c r="A34" s="77" t="s">
        <v>335</v>
      </c>
      <c r="B34" s="92">
        <f>B32/B30</f>
        <v>0.11065573770491802</v>
      </c>
      <c r="C34" s="77"/>
      <c r="D34" s="77"/>
      <c r="E34" s="77"/>
      <c r="F34" s="77"/>
      <c r="G34" s="77"/>
      <c r="H34" s="77"/>
      <c r="I34" s="77"/>
      <c r="J34" s="77"/>
      <c r="K34" s="78"/>
    </row>
    <row r="35" spans="1:11" ht="15.75" customHeight="1" x14ac:dyDescent="0.3">
      <c r="A35" s="77" t="s">
        <v>336</v>
      </c>
      <c r="B35" s="88">
        <f>CONVERT(Weights!B43,"ft","m")</f>
        <v>1.3014959999999998</v>
      </c>
      <c r="C35" s="77" t="s">
        <v>312</v>
      </c>
      <c r="D35" s="77"/>
      <c r="E35" s="77"/>
      <c r="F35" s="77"/>
      <c r="G35" s="77"/>
      <c r="H35" s="77"/>
      <c r="I35" s="77"/>
      <c r="J35" s="77"/>
      <c r="K35" s="78"/>
    </row>
    <row r="36" spans="1:11" ht="15.75" customHeight="1" x14ac:dyDescent="0.3">
      <c r="A36" s="77" t="s">
        <v>337</v>
      </c>
      <c r="B36" s="88">
        <f>CONVERT(Weights!B44,"ft","m")</f>
        <v>0.67360799999999998</v>
      </c>
      <c r="C36" s="77" t="s">
        <v>312</v>
      </c>
      <c r="D36" s="77"/>
      <c r="E36" s="77"/>
      <c r="F36" s="77"/>
      <c r="G36" s="77"/>
      <c r="H36" s="77"/>
      <c r="I36" s="77"/>
      <c r="J36" s="77"/>
      <c r="K36" s="78"/>
    </row>
    <row r="37" spans="1:11" ht="15.75" customHeight="1" x14ac:dyDescent="0.3">
      <c r="D37" s="77"/>
      <c r="E37" s="77"/>
      <c r="F37" s="77"/>
      <c r="G37" s="77"/>
      <c r="H37" s="77"/>
      <c r="I37" s="77"/>
      <c r="J37" s="77"/>
      <c r="K37" s="78"/>
    </row>
    <row r="38" spans="1:11" ht="15.75" customHeight="1" x14ac:dyDescent="0.3">
      <c r="A38" s="77" t="s">
        <v>338</v>
      </c>
      <c r="B38" s="90">
        <f>B9*B11*B17/B13</f>
        <v>17134190.840509634</v>
      </c>
      <c r="C38" s="77"/>
      <c r="D38" s="77"/>
      <c r="E38" s="77"/>
      <c r="F38" s="77"/>
      <c r="G38" s="77"/>
      <c r="H38" s="77"/>
      <c r="I38" s="77"/>
      <c r="J38" s="77"/>
      <c r="K38" s="78"/>
    </row>
    <row r="39" spans="1:11" ht="15.75" customHeight="1" x14ac:dyDescent="0.3">
      <c r="A39" s="77" t="s">
        <v>339</v>
      </c>
      <c r="B39" s="90">
        <f>B10*B12*B17/B14</f>
        <v>21952520.748399042</v>
      </c>
      <c r="C39" s="77"/>
      <c r="D39" s="77"/>
      <c r="E39" s="77"/>
      <c r="F39" s="77"/>
      <c r="G39" s="77"/>
      <c r="H39" s="77"/>
      <c r="I39" s="77"/>
      <c r="J39" s="77"/>
      <c r="K39" s="78"/>
    </row>
    <row r="40" spans="1:11" ht="15.75" customHeight="1" x14ac:dyDescent="0.3">
      <c r="A40" s="77" t="s">
        <v>340</v>
      </c>
      <c r="B40" s="90">
        <f>B9*B11*B23/B13</f>
        <v>180369909.51401624</v>
      </c>
      <c r="C40" s="77"/>
      <c r="D40" s="77"/>
      <c r="E40" s="77"/>
      <c r="F40" s="77"/>
      <c r="G40" s="77"/>
      <c r="H40" s="77"/>
      <c r="I40" s="77"/>
      <c r="J40" s="77"/>
      <c r="K40" s="78"/>
    </row>
    <row r="41" spans="1:11" ht="15.75" customHeight="1" x14ac:dyDescent="0.3">
      <c r="A41" s="77" t="s">
        <v>341</v>
      </c>
      <c r="B41" s="90">
        <f>B10*B12*B23/B14</f>
        <v>231091985.48389268</v>
      </c>
      <c r="C41" s="77"/>
      <c r="D41" s="77"/>
      <c r="E41" s="77"/>
      <c r="F41" s="77"/>
      <c r="G41" s="77"/>
      <c r="H41" s="77"/>
      <c r="I41" s="77"/>
      <c r="J41" s="77"/>
      <c r="K41" s="78"/>
    </row>
    <row r="42" spans="1:11" ht="15.75" customHeight="1" x14ac:dyDescent="0.3">
      <c r="A42" s="77" t="s">
        <v>342</v>
      </c>
      <c r="B42" s="90">
        <f>B9*B11*B25/B13</f>
        <v>11412033.1035986</v>
      </c>
      <c r="C42" s="77"/>
      <c r="D42" s="77"/>
      <c r="E42" s="77"/>
      <c r="F42" s="77"/>
      <c r="G42" s="77"/>
      <c r="H42" s="77"/>
      <c r="I42" s="77"/>
      <c r="J42" s="77"/>
      <c r="K42" s="78"/>
    </row>
    <row r="43" spans="1:11" ht="15.75" customHeight="1" x14ac:dyDescent="0.3">
      <c r="A43" s="77" t="s">
        <v>343</v>
      </c>
      <c r="B43" s="90">
        <f>B10*B12*B25/B14</f>
        <v>14621226.985278139</v>
      </c>
      <c r="C43" s="77"/>
      <c r="D43" s="77"/>
      <c r="E43" s="77"/>
      <c r="F43" s="77"/>
      <c r="G43" s="77"/>
      <c r="H43" s="77"/>
      <c r="I43" s="77"/>
      <c r="J43" s="77"/>
      <c r="K43" s="78"/>
    </row>
    <row r="44" spans="1:11" ht="15.75" customHeight="1" x14ac:dyDescent="0.3">
      <c r="A44" s="77" t="s">
        <v>344</v>
      </c>
      <c r="B44" s="90">
        <f>B9*B11*B30/B13</f>
        <v>18923224.166582804</v>
      </c>
      <c r="C44" s="77"/>
      <c r="D44" s="77"/>
      <c r="E44" s="77"/>
      <c r="F44" s="77"/>
      <c r="G44" s="77"/>
      <c r="H44" s="77"/>
      <c r="I44" s="77"/>
      <c r="J44" s="77"/>
      <c r="K44" s="78"/>
    </row>
    <row r="45" spans="1:11" ht="15.75" customHeight="1" x14ac:dyDescent="0.3">
      <c r="A45" s="77" t="s">
        <v>345</v>
      </c>
      <c r="B45" s="90">
        <f>B10*B12*B30/B14</f>
        <v>24244650.652622193</v>
      </c>
      <c r="C45" s="77"/>
      <c r="D45" s="77"/>
      <c r="E45" s="77"/>
      <c r="F45" s="77"/>
      <c r="G45" s="77"/>
      <c r="H45" s="77"/>
      <c r="I45" s="77"/>
      <c r="J45" s="77"/>
      <c r="K45" s="78"/>
    </row>
    <row r="46" spans="1:11" ht="15.75" customHeight="1" x14ac:dyDescent="0.3">
      <c r="A46" s="77" t="s">
        <v>346</v>
      </c>
      <c r="B46" s="90">
        <f>B9*B11*B35/B13</f>
        <v>6267100.7969743265</v>
      </c>
      <c r="C46" s="77"/>
      <c r="D46" s="77"/>
      <c r="E46" s="77"/>
      <c r="F46" s="77"/>
      <c r="G46" s="77"/>
      <c r="H46" s="77"/>
      <c r="I46" s="77"/>
      <c r="J46" s="77"/>
      <c r="K46" s="78"/>
    </row>
    <row r="47" spans="1:11" ht="15.75" customHeight="1" x14ac:dyDescent="0.3">
      <c r="A47" s="77" t="s">
        <v>347</v>
      </c>
      <c r="B47" s="90">
        <f>B10*B12*B35/B14</f>
        <v>8029481.0276430277</v>
      </c>
      <c r="C47" s="77"/>
      <c r="D47" s="77"/>
      <c r="E47" s="77"/>
      <c r="F47" s="77"/>
      <c r="G47" s="77"/>
      <c r="H47" s="77"/>
      <c r="I47" s="77"/>
      <c r="J47" s="77"/>
      <c r="K47" s="78"/>
    </row>
    <row r="48" spans="1:11" ht="15.75" customHeight="1" x14ac:dyDescent="0.3">
      <c r="A48" s="77" t="s">
        <v>348</v>
      </c>
      <c r="B48" s="90">
        <f>B23/B24</f>
        <v>14.407089414292459</v>
      </c>
      <c r="C48" s="77"/>
      <c r="D48" s="77"/>
      <c r="E48" s="77"/>
      <c r="F48" s="77"/>
      <c r="G48" s="77"/>
      <c r="H48" s="77"/>
      <c r="I48" s="77"/>
      <c r="J48" s="77"/>
      <c r="K48" s="78"/>
    </row>
    <row r="49" spans="1:11" ht="15.75" customHeight="1" x14ac:dyDescent="0.3">
      <c r="A49" s="77" t="s">
        <v>349</v>
      </c>
      <c r="B49" s="90">
        <f>PI()*B24*B23*(1-2/B48)^(2/3)*(1+1/B48^2)</f>
        <v>278.27265565712605</v>
      </c>
      <c r="C49" s="77" t="s">
        <v>319</v>
      </c>
      <c r="D49" s="77"/>
      <c r="E49" s="77"/>
      <c r="F49" s="77"/>
      <c r="G49" s="77"/>
      <c r="H49" s="77"/>
      <c r="I49" s="77"/>
      <c r="J49" s="77"/>
      <c r="K49" s="78"/>
    </row>
    <row r="50" spans="1:11" ht="15.75" customHeight="1" x14ac:dyDescent="0.3">
      <c r="A50" s="77" t="s">
        <v>350</v>
      </c>
      <c r="B50" s="90">
        <f>B20*2*1.02</f>
        <v>252.28291523633999</v>
      </c>
      <c r="C50" s="77" t="s">
        <v>319</v>
      </c>
      <c r="D50" s="77"/>
      <c r="E50" s="77"/>
      <c r="F50" s="77"/>
      <c r="G50" s="77"/>
      <c r="H50" s="77"/>
      <c r="I50" s="77"/>
      <c r="J50" s="77"/>
      <c r="K50" s="78"/>
    </row>
    <row r="51" spans="1:11" ht="15.75" customHeight="1" x14ac:dyDescent="0.3">
      <c r="A51" s="77" t="s">
        <v>351</v>
      </c>
      <c r="B51" s="89">
        <f>B28*2*1.02</f>
        <v>40.696212561026321</v>
      </c>
      <c r="C51" s="77" t="s">
        <v>319</v>
      </c>
      <c r="D51" s="77"/>
      <c r="E51" s="77"/>
      <c r="F51" s="77"/>
      <c r="G51" s="77"/>
      <c r="H51" s="77"/>
      <c r="I51" s="77"/>
      <c r="J51" s="77"/>
      <c r="K51" s="78"/>
    </row>
    <row r="52" spans="1:11" ht="15.75" customHeight="1" x14ac:dyDescent="0.3">
      <c r="A52" s="77" t="s">
        <v>352</v>
      </c>
      <c r="B52" s="89">
        <f>B33*2*1.02</f>
        <v>37.49616849639861</v>
      </c>
      <c r="C52" s="77" t="s">
        <v>319</v>
      </c>
      <c r="D52" s="77"/>
      <c r="E52" s="77"/>
      <c r="F52" s="77"/>
      <c r="G52" s="77"/>
      <c r="H52" s="77"/>
      <c r="I52" s="77"/>
      <c r="J52" s="77"/>
      <c r="K52" s="78"/>
    </row>
    <row r="53" spans="1:11" ht="15.75" customHeight="1" x14ac:dyDescent="0.3">
      <c r="A53" s="77" t="s">
        <v>353</v>
      </c>
      <c r="B53" s="89">
        <f>PI()*B35*B36</f>
        <v>2.7542283655676285</v>
      </c>
      <c r="C53" s="77"/>
      <c r="D53" s="77"/>
      <c r="E53" s="77"/>
      <c r="F53" s="77"/>
      <c r="G53" s="77"/>
      <c r="H53" s="77"/>
      <c r="I53" s="77"/>
      <c r="J53" s="77"/>
      <c r="K53" s="78"/>
    </row>
    <row r="54" spans="1:11" ht="15.75" customHeight="1" x14ac:dyDescent="0.3">
      <c r="A54" s="77" t="s">
        <v>354</v>
      </c>
      <c r="B54" s="90">
        <f>1+100*B21^4</f>
        <v>1.032838157802598</v>
      </c>
      <c r="C54" s="77"/>
      <c r="D54" s="77"/>
      <c r="E54" s="77"/>
      <c r="F54" s="77"/>
      <c r="G54" s="77"/>
      <c r="H54" s="77"/>
      <c r="I54" s="77"/>
      <c r="J54" s="77"/>
      <c r="K54" s="78"/>
    </row>
    <row r="55" spans="1:11" ht="15.75" customHeight="1" x14ac:dyDescent="0.3">
      <c r="A55" s="77" t="s">
        <v>355</v>
      </c>
      <c r="B55" s="90">
        <f>0.9+5/B48^(3/2)+B48/400</f>
        <v>1.0274512830148188</v>
      </c>
      <c r="C55" s="77"/>
      <c r="D55" s="77"/>
      <c r="E55" s="77"/>
      <c r="F55" s="77"/>
      <c r="G55" s="77"/>
      <c r="H55" s="77"/>
      <c r="I55" s="77"/>
      <c r="J55" s="77"/>
      <c r="K55" s="78"/>
    </row>
    <row r="56" spans="1:11" ht="15.75" customHeight="1" x14ac:dyDescent="0.3">
      <c r="A56" s="77" t="s">
        <v>356</v>
      </c>
      <c r="B56" s="89">
        <f>1+100*B29^4</f>
        <v>1.032838157802598</v>
      </c>
      <c r="C56" s="77"/>
      <c r="D56" s="77"/>
      <c r="E56" s="77"/>
      <c r="F56" s="77"/>
      <c r="G56" s="77"/>
      <c r="H56" s="77"/>
      <c r="I56" s="77"/>
      <c r="J56" s="77"/>
      <c r="K56" s="78"/>
    </row>
    <row r="57" spans="1:11" ht="15.75" customHeight="1" x14ac:dyDescent="0.3">
      <c r="A57" s="77" t="s">
        <v>357</v>
      </c>
      <c r="B57" s="89">
        <f>1+100*B34^4</f>
        <v>1.0149932489203797</v>
      </c>
      <c r="C57" s="77"/>
      <c r="D57" s="77"/>
      <c r="E57" s="77"/>
      <c r="F57" s="77"/>
      <c r="G57" s="77"/>
      <c r="H57" s="77"/>
      <c r="I57" s="77"/>
      <c r="J57" s="77"/>
      <c r="K57" s="78"/>
    </row>
    <row r="58" spans="1:11" ht="15.75" customHeight="1" x14ac:dyDescent="0.3">
      <c r="A58" s="77" t="s">
        <v>358</v>
      </c>
      <c r="B58" s="89">
        <f>1+0.35/(B35/B36)</f>
        <v>1.1811475409836065</v>
      </c>
      <c r="C58" s="77"/>
      <c r="D58" s="77"/>
      <c r="E58" s="77"/>
      <c r="F58" s="77"/>
      <c r="G58" s="77"/>
      <c r="H58" s="77"/>
      <c r="I58" s="77"/>
      <c r="J58" s="77"/>
      <c r="K58" s="78"/>
    </row>
    <row r="59" spans="1:11" ht="15.75" customHeight="1" x14ac:dyDescent="0.3">
      <c r="A59" s="77" t="s">
        <v>359</v>
      </c>
      <c r="B59" s="90">
        <v>1.3</v>
      </c>
      <c r="C59" s="77"/>
      <c r="D59" s="77"/>
      <c r="E59" s="77"/>
      <c r="F59" s="77"/>
      <c r="G59" s="77"/>
      <c r="H59" s="77"/>
      <c r="I59" s="77"/>
      <c r="J59" s="77"/>
      <c r="K59" s="78"/>
    </row>
    <row r="60" spans="1:11" ht="15.75" customHeight="1" x14ac:dyDescent="0.3">
      <c r="A60" s="77" t="s">
        <v>360</v>
      </c>
      <c r="B60" s="90">
        <v>1</v>
      </c>
      <c r="C60" s="77"/>
      <c r="D60" s="77"/>
      <c r="E60" s="77"/>
      <c r="F60" s="77"/>
      <c r="G60" s="77"/>
      <c r="H60" s="77"/>
      <c r="I60" s="77"/>
      <c r="J60" s="77"/>
    </row>
    <row r="61" spans="1:11" ht="15.75" customHeight="1" x14ac:dyDescent="0.3">
      <c r="A61" s="77" t="s">
        <v>361</v>
      </c>
      <c r="B61" s="90">
        <v>1.0449999999999999</v>
      </c>
      <c r="C61" s="77"/>
      <c r="D61" s="77"/>
      <c r="E61" s="77"/>
      <c r="F61" s="77"/>
      <c r="G61" s="77"/>
      <c r="H61" s="77"/>
      <c r="I61" s="77"/>
      <c r="J61" s="77"/>
    </row>
    <row r="62" spans="1:11" ht="15.75" customHeight="1" x14ac:dyDescent="0.3">
      <c r="A62" s="77" t="s">
        <v>362</v>
      </c>
      <c r="B62" s="90">
        <v>1.1000000000000001</v>
      </c>
      <c r="C62" s="77"/>
      <c r="D62" s="77"/>
      <c r="E62" s="77"/>
      <c r="F62" s="77"/>
      <c r="G62" s="77"/>
      <c r="H62" s="77"/>
      <c r="I62" s="77"/>
      <c r="J62" s="77"/>
    </row>
    <row r="63" spans="1:11" ht="15.75" customHeight="1" x14ac:dyDescent="0.3">
      <c r="A63" s="77" t="s">
        <v>363</v>
      </c>
      <c r="B63" s="90">
        <f>1.78 * (1-0.045*B22^0.68)-0.64</f>
        <v>0.73094703780563675</v>
      </c>
      <c r="C63" s="77"/>
      <c r="D63" s="77"/>
      <c r="E63" s="77"/>
      <c r="F63" s="77"/>
      <c r="G63" s="77"/>
      <c r="H63" s="77"/>
      <c r="I63" s="77"/>
      <c r="J63" s="77"/>
    </row>
    <row r="64" spans="1:11" ht="15.75" customHeight="1" x14ac:dyDescent="0.3">
      <c r="A64" s="77" t="s">
        <v>364</v>
      </c>
      <c r="B64" s="90">
        <f>F16*B20</f>
        <v>1.9666158775097597</v>
      </c>
      <c r="C64" s="77" t="s">
        <v>319</v>
      </c>
    </row>
  </sheetData>
  <mergeCells count="3">
    <mergeCell ref="E5:J5"/>
    <mergeCell ref="E10:J10"/>
    <mergeCell ref="A1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3BEEA-E2D3-47FB-8C49-55DAF7DF3644}">
  <sheetPr codeName="Sheet1"/>
  <dimension ref="A1:G117"/>
  <sheetViews>
    <sheetView zoomScale="86" zoomScaleNormal="107" workbookViewId="0">
      <selection activeCell="D3" sqref="D3"/>
    </sheetView>
  </sheetViews>
  <sheetFormatPr defaultRowHeight="14.4" x14ac:dyDescent="0.3"/>
  <cols>
    <col min="1" max="1" width="48.109375" customWidth="1"/>
    <col min="6" max="6" width="18.5546875" customWidth="1"/>
    <col min="7" max="7" width="11.88671875" customWidth="1"/>
  </cols>
  <sheetData>
    <row r="1" spans="1:7" ht="14.4" customHeight="1" x14ac:dyDescent="0.3">
      <c r="A1" s="103" t="s">
        <v>365</v>
      </c>
      <c r="B1" s="103"/>
      <c r="C1" s="103"/>
    </row>
    <row r="2" spans="1:7" ht="14.4" customHeight="1" x14ac:dyDescent="0.3">
      <c r="A2" s="103"/>
      <c r="B2" s="103"/>
      <c r="C2" s="103"/>
      <c r="D2" t="s">
        <v>585</v>
      </c>
    </row>
    <row r="3" spans="1:7" ht="14.4" customHeight="1" x14ac:dyDescent="0.3">
      <c r="A3" s="103"/>
      <c r="B3" s="103"/>
      <c r="C3" s="103"/>
    </row>
    <row r="4" spans="1:7" ht="14.4" customHeight="1" thickBot="1" x14ac:dyDescent="0.35">
      <c r="A4" s="103"/>
      <c r="B4" s="103"/>
      <c r="C4" s="103"/>
    </row>
    <row r="5" spans="1:7" ht="21.6" thickBot="1" x14ac:dyDescent="0.45">
      <c r="A5" s="30" t="s">
        <v>27</v>
      </c>
      <c r="B5" s="21" t="s">
        <v>287</v>
      </c>
      <c r="C5" s="22" t="s">
        <v>366</v>
      </c>
      <c r="F5" s="1" t="s">
        <v>367</v>
      </c>
      <c r="G5" s="1" t="s">
        <v>368</v>
      </c>
    </row>
    <row r="6" spans="1:7" ht="15.6" x14ac:dyDescent="0.35">
      <c r="A6" s="10" t="s">
        <v>369</v>
      </c>
      <c r="B6" s="4">
        <v>0.02</v>
      </c>
      <c r="C6" s="11" t="s">
        <v>13</v>
      </c>
      <c r="F6" s="4"/>
      <c r="G6" t="s">
        <v>370</v>
      </c>
    </row>
    <row r="7" spans="1:7" x14ac:dyDescent="0.3">
      <c r="A7" s="10" t="s">
        <v>371</v>
      </c>
      <c r="B7" t="s">
        <v>372</v>
      </c>
      <c r="C7" s="11" t="s">
        <v>13</v>
      </c>
      <c r="F7" s="32"/>
      <c r="G7" t="s">
        <v>373</v>
      </c>
    </row>
    <row r="8" spans="1:7" x14ac:dyDescent="0.3">
      <c r="A8" s="10" t="s">
        <v>374</v>
      </c>
      <c r="B8">
        <v>9.9600000000000009</v>
      </c>
      <c r="C8" s="11"/>
      <c r="F8" t="s">
        <v>375</v>
      </c>
      <c r="G8" t="s">
        <v>376</v>
      </c>
    </row>
    <row r="9" spans="1:7" x14ac:dyDescent="0.3">
      <c r="A9" s="10" t="s">
        <v>377</v>
      </c>
      <c r="B9">
        <v>16.09</v>
      </c>
      <c r="C9" s="11"/>
    </row>
    <row r="10" spans="1:7" x14ac:dyDescent="0.3">
      <c r="A10" s="10" t="s">
        <v>378</v>
      </c>
      <c r="B10" s="32">
        <f>1.78*(1-(0.045*(B16^0.68)))-0.64</f>
        <v>0.65985204276402409</v>
      </c>
      <c r="C10" s="11" t="s">
        <v>13</v>
      </c>
    </row>
    <row r="11" spans="1:7" x14ac:dyDescent="0.3">
      <c r="A11" s="10" t="s">
        <v>379</v>
      </c>
      <c r="B11" s="32">
        <f>1/(PI()*B16*B10)</f>
        <v>3.4646908496668891E-2</v>
      </c>
      <c r="C11" s="11" t="s">
        <v>13</v>
      </c>
    </row>
    <row r="12" spans="1:7" x14ac:dyDescent="0.3">
      <c r="A12" s="10" t="s">
        <v>380</v>
      </c>
      <c r="B12">
        <v>0.1</v>
      </c>
      <c r="C12" s="11" t="s">
        <v>13</v>
      </c>
    </row>
    <row r="13" spans="1:7" x14ac:dyDescent="0.3">
      <c r="A13" s="10" t="s">
        <v>381</v>
      </c>
      <c r="B13">
        <v>11</v>
      </c>
      <c r="C13" s="11" t="s">
        <v>13</v>
      </c>
    </row>
    <row r="14" spans="1:7" ht="16.8" x14ac:dyDescent="0.35">
      <c r="A14" s="10" t="s">
        <v>382</v>
      </c>
      <c r="B14">
        <v>500</v>
      </c>
      <c r="C14" s="11" t="s">
        <v>137</v>
      </c>
    </row>
    <row r="15" spans="1:7" x14ac:dyDescent="0.3">
      <c r="A15" s="24" t="s">
        <v>176</v>
      </c>
      <c r="B15" s="14"/>
      <c r="C15" s="25"/>
    </row>
    <row r="16" spans="1:7" x14ac:dyDescent="0.3">
      <c r="A16" s="10" t="s">
        <v>383</v>
      </c>
      <c r="B16" s="33">
        <f>(B18^2)/B19</f>
        <v>13.923200355485335</v>
      </c>
      <c r="C16" s="11" t="s">
        <v>13</v>
      </c>
    </row>
    <row r="17" spans="1:3" x14ac:dyDescent="0.3">
      <c r="A17" s="10" t="s">
        <v>384</v>
      </c>
      <c r="B17">
        <v>0.4</v>
      </c>
      <c r="C17" s="11" t="s">
        <v>13</v>
      </c>
    </row>
    <row r="18" spans="1:3" x14ac:dyDescent="0.3">
      <c r="A18" s="10" t="s">
        <v>385</v>
      </c>
      <c r="B18" s="4">
        <v>75.099999999999994</v>
      </c>
      <c r="C18" s="11" t="s">
        <v>15</v>
      </c>
    </row>
    <row r="19" spans="1:3" ht="16.2" x14ac:dyDescent="0.3">
      <c r="A19" s="10" t="s">
        <v>386</v>
      </c>
      <c r="B19" s="4">
        <v>405.08</v>
      </c>
      <c r="C19" s="11" t="s">
        <v>137</v>
      </c>
    </row>
    <row r="20" spans="1:3" ht="16.8" x14ac:dyDescent="0.35">
      <c r="A20" s="10" t="s">
        <v>387</v>
      </c>
      <c r="B20">
        <v>200</v>
      </c>
      <c r="C20" s="11" t="s">
        <v>137</v>
      </c>
    </row>
    <row r="21" spans="1:3" x14ac:dyDescent="0.3">
      <c r="A21" s="10" t="s">
        <v>388</v>
      </c>
      <c r="B21">
        <v>0</v>
      </c>
      <c r="C21" s="11" t="s">
        <v>13</v>
      </c>
    </row>
    <row r="22" spans="1:3" ht="15.6" x14ac:dyDescent="0.35">
      <c r="A22" s="10" t="s">
        <v>150</v>
      </c>
      <c r="B22">
        <v>13.41</v>
      </c>
      <c r="C22" s="11" t="s">
        <v>15</v>
      </c>
    </row>
    <row r="23" spans="1:3" ht="15.6" x14ac:dyDescent="0.35">
      <c r="A23" s="10" t="s">
        <v>149</v>
      </c>
      <c r="B23">
        <v>5.36</v>
      </c>
      <c r="C23" s="11" t="s">
        <v>15</v>
      </c>
    </row>
    <row r="24" spans="1:3" x14ac:dyDescent="0.3">
      <c r="A24" s="24" t="s">
        <v>117</v>
      </c>
      <c r="B24" s="14"/>
      <c r="C24" s="25"/>
    </row>
    <row r="25" spans="1:3" ht="15.6" x14ac:dyDescent="0.35">
      <c r="A25" s="10" t="s">
        <v>389</v>
      </c>
      <c r="B25" s="33">
        <f>(B27^2)/B28</f>
        <v>4.0698612518512753</v>
      </c>
      <c r="C25" s="11" t="s">
        <v>13</v>
      </c>
    </row>
    <row r="26" spans="1:3" ht="15.6" x14ac:dyDescent="0.35">
      <c r="A26" s="10" t="s">
        <v>390</v>
      </c>
      <c r="B26">
        <v>0.4</v>
      </c>
      <c r="C26" s="11" t="s">
        <v>13</v>
      </c>
    </row>
    <row r="27" spans="1:3" ht="15.6" x14ac:dyDescent="0.35">
      <c r="A27" s="10" t="s">
        <v>391</v>
      </c>
      <c r="B27">
        <v>22.85</v>
      </c>
      <c r="C27" s="11" t="s">
        <v>15</v>
      </c>
    </row>
    <row r="28" spans="1:3" ht="16.8" x14ac:dyDescent="0.35">
      <c r="A28" s="10" t="s">
        <v>392</v>
      </c>
      <c r="B28">
        <v>128.29</v>
      </c>
      <c r="C28" s="11" t="s">
        <v>137</v>
      </c>
    </row>
    <row r="29" spans="1:3" ht="16.8" x14ac:dyDescent="0.35">
      <c r="A29" s="10" t="s">
        <v>393</v>
      </c>
      <c r="B29">
        <v>50</v>
      </c>
      <c r="C29" s="11" t="s">
        <v>137</v>
      </c>
    </row>
    <row r="30" spans="1:3" ht="15.6" x14ac:dyDescent="0.35">
      <c r="A30" s="10" t="s">
        <v>394</v>
      </c>
      <c r="B30">
        <v>0</v>
      </c>
      <c r="C30" s="11" t="s">
        <v>13</v>
      </c>
    </row>
    <row r="31" spans="1:3" x14ac:dyDescent="0.3">
      <c r="A31" s="10" t="s">
        <v>158</v>
      </c>
      <c r="C31" s="11" t="b">
        <v>0</v>
      </c>
    </row>
    <row r="32" spans="1:3" ht="15.6" x14ac:dyDescent="0.35">
      <c r="A32" s="10" t="s">
        <v>150</v>
      </c>
      <c r="C32" s="11" t="s">
        <v>15</v>
      </c>
    </row>
    <row r="33" spans="1:3" ht="15.6" x14ac:dyDescent="0.35">
      <c r="A33" s="10" t="s">
        <v>149</v>
      </c>
      <c r="C33" s="11" t="s">
        <v>15</v>
      </c>
    </row>
    <row r="34" spans="1:3" x14ac:dyDescent="0.3">
      <c r="A34" s="24" t="s">
        <v>118</v>
      </c>
      <c r="B34" s="14"/>
      <c r="C34" s="25"/>
    </row>
    <row r="35" spans="1:3" ht="15.6" x14ac:dyDescent="0.35">
      <c r="A35" s="10" t="s">
        <v>395</v>
      </c>
      <c r="B35" s="33">
        <f>(B37^2)/B38</f>
        <v>1.2391024390243903</v>
      </c>
      <c r="C35" s="11" t="s">
        <v>13</v>
      </c>
    </row>
    <row r="36" spans="1:3" ht="15.6" x14ac:dyDescent="0.35">
      <c r="A36" s="10" t="s">
        <v>396</v>
      </c>
      <c r="B36">
        <v>0.8</v>
      </c>
      <c r="C36" s="11" t="s">
        <v>13</v>
      </c>
    </row>
    <row r="37" spans="1:3" ht="15.6" x14ac:dyDescent="0.35">
      <c r="A37" s="10" t="s">
        <v>397</v>
      </c>
      <c r="B37">
        <v>10.08</v>
      </c>
      <c r="C37" s="11" t="s">
        <v>15</v>
      </c>
    </row>
    <row r="38" spans="1:3" ht="16.8" x14ac:dyDescent="0.35">
      <c r="A38" s="10" t="s">
        <v>398</v>
      </c>
      <c r="B38">
        <v>82</v>
      </c>
      <c r="C38" s="11" t="s">
        <v>137</v>
      </c>
    </row>
    <row r="39" spans="1:3" ht="15.6" x14ac:dyDescent="0.35">
      <c r="A39" s="10" t="s">
        <v>399</v>
      </c>
      <c r="B39">
        <v>0</v>
      </c>
      <c r="C39" s="11" t="s">
        <v>13</v>
      </c>
    </row>
    <row r="40" spans="1:3" x14ac:dyDescent="0.3">
      <c r="A40" s="10" t="s">
        <v>157</v>
      </c>
      <c r="C40" s="11" t="b">
        <v>1</v>
      </c>
    </row>
    <row r="41" spans="1:3" ht="15.6" x14ac:dyDescent="0.35">
      <c r="A41" s="10" t="s">
        <v>150</v>
      </c>
      <c r="C41" s="11" t="s">
        <v>15</v>
      </c>
    </row>
    <row r="42" spans="1:3" ht="16.2" thickBot="1" x14ac:dyDescent="0.4">
      <c r="A42" s="13" t="s">
        <v>149</v>
      </c>
      <c r="B42" s="18"/>
      <c r="C42" s="17" t="s">
        <v>15</v>
      </c>
    </row>
    <row r="43" spans="1:3" ht="15" thickBot="1" x14ac:dyDescent="0.35"/>
    <row r="44" spans="1:3" ht="21.6" thickBot="1" x14ac:dyDescent="0.45">
      <c r="A44" s="144" t="s">
        <v>400</v>
      </c>
      <c r="B44" s="145"/>
      <c r="C44" s="146"/>
    </row>
    <row r="45" spans="1:3" x14ac:dyDescent="0.3">
      <c r="A45" s="10" t="s">
        <v>401</v>
      </c>
      <c r="B45" s="4">
        <v>38</v>
      </c>
      <c r="C45" s="11" t="s">
        <v>13</v>
      </c>
    </row>
    <row r="46" spans="1:3" x14ac:dyDescent="0.3">
      <c r="A46" s="10" t="s">
        <v>402</v>
      </c>
      <c r="B46" s="4">
        <v>2</v>
      </c>
      <c r="C46" s="11" t="s">
        <v>13</v>
      </c>
    </row>
    <row r="47" spans="1:3" ht="15.6" x14ac:dyDescent="0.35">
      <c r="A47" s="10" t="s">
        <v>403</v>
      </c>
      <c r="B47">
        <v>60</v>
      </c>
      <c r="C47" s="11" t="s">
        <v>224</v>
      </c>
    </row>
    <row r="48" spans="1:3" ht="15.6" x14ac:dyDescent="0.35">
      <c r="A48" s="10" t="s">
        <v>404</v>
      </c>
      <c r="B48">
        <v>30</v>
      </c>
      <c r="C48" s="11" t="s">
        <v>15</v>
      </c>
    </row>
    <row r="49" spans="1:3" x14ac:dyDescent="0.3">
      <c r="A49" s="10" t="s">
        <v>405</v>
      </c>
      <c r="B49">
        <v>4</v>
      </c>
      <c r="C49" s="11" t="s">
        <v>13</v>
      </c>
    </row>
    <row r="50" spans="1:3" x14ac:dyDescent="0.3">
      <c r="A50" s="10" t="s">
        <v>406</v>
      </c>
      <c r="B50" s="4">
        <v>300</v>
      </c>
      <c r="C50" s="11" t="s">
        <v>70</v>
      </c>
    </row>
    <row r="51" spans="1:3" x14ac:dyDescent="0.3">
      <c r="A51" s="10" t="s">
        <v>407</v>
      </c>
      <c r="B51">
        <v>300</v>
      </c>
      <c r="C51" s="11" t="s">
        <v>70</v>
      </c>
    </row>
    <row r="52" spans="1:3" x14ac:dyDescent="0.3">
      <c r="A52" s="10" t="s">
        <v>408</v>
      </c>
      <c r="B52">
        <v>150</v>
      </c>
      <c r="C52" s="11" t="s">
        <v>70</v>
      </c>
    </row>
    <row r="53" spans="1:3" x14ac:dyDescent="0.3">
      <c r="A53" s="10" t="s">
        <v>188</v>
      </c>
      <c r="C53" s="11" t="b">
        <v>0</v>
      </c>
    </row>
    <row r="54" spans="1:3" x14ac:dyDescent="0.3">
      <c r="A54" s="24" t="s">
        <v>409</v>
      </c>
      <c r="B54" s="26"/>
      <c r="C54" s="27"/>
    </row>
    <row r="55" spans="1:3" x14ac:dyDescent="0.3">
      <c r="A55" s="10" t="s">
        <v>410</v>
      </c>
      <c r="B55">
        <f>B117</f>
        <v>40</v>
      </c>
      <c r="C55" s="11" t="s">
        <v>13</v>
      </c>
    </row>
    <row r="56" spans="1:3" ht="16.2" x14ac:dyDescent="0.3">
      <c r="A56" s="10" t="s">
        <v>411</v>
      </c>
      <c r="B56">
        <v>8628</v>
      </c>
      <c r="C56" s="11" t="s">
        <v>242</v>
      </c>
    </row>
    <row r="57" spans="1:3" x14ac:dyDescent="0.3">
      <c r="A57" s="24" t="s">
        <v>165</v>
      </c>
      <c r="B57" s="26"/>
      <c r="C57" s="27"/>
    </row>
    <row r="58" spans="1:3" ht="15.6" x14ac:dyDescent="0.35">
      <c r="A58" s="10" t="s">
        <v>412</v>
      </c>
      <c r="B58">
        <v>60</v>
      </c>
      <c r="C58" s="11" t="s">
        <v>170</v>
      </c>
    </row>
    <row r="59" spans="1:3" ht="15.6" x14ac:dyDescent="0.35">
      <c r="A59" s="10" t="s">
        <v>413</v>
      </c>
      <c r="B59">
        <v>4</v>
      </c>
      <c r="C59" s="11" t="s">
        <v>13</v>
      </c>
    </row>
    <row r="60" spans="1:3" ht="15.6" x14ac:dyDescent="0.35">
      <c r="A60" s="10" t="s">
        <v>414</v>
      </c>
      <c r="B60">
        <v>8</v>
      </c>
      <c r="C60" s="11" t="s">
        <v>13</v>
      </c>
    </row>
    <row r="61" spans="1:3" x14ac:dyDescent="0.3">
      <c r="A61" s="10" t="s">
        <v>181</v>
      </c>
      <c r="C61" s="11" t="b">
        <v>0</v>
      </c>
    </row>
    <row r="62" spans="1:3" x14ac:dyDescent="0.3">
      <c r="A62" s="24" t="s">
        <v>166</v>
      </c>
      <c r="B62" s="26"/>
      <c r="C62" s="27"/>
    </row>
    <row r="63" spans="1:3" ht="15.6" x14ac:dyDescent="0.35">
      <c r="A63" s="10" t="s">
        <v>415</v>
      </c>
      <c r="B63">
        <v>50</v>
      </c>
      <c r="C63" s="11" t="s">
        <v>170</v>
      </c>
    </row>
    <row r="64" spans="1:3" ht="15.6" x14ac:dyDescent="0.35">
      <c r="A64" s="10" t="s">
        <v>416</v>
      </c>
      <c r="B64">
        <v>2</v>
      </c>
      <c r="C64" s="11" t="s">
        <v>13</v>
      </c>
    </row>
    <row r="65" spans="1:3" ht="15" thickBot="1" x14ac:dyDescent="0.35">
      <c r="A65" s="13" t="s">
        <v>181</v>
      </c>
      <c r="B65" s="18"/>
      <c r="C65" s="17" t="b">
        <v>0</v>
      </c>
    </row>
    <row r="66" spans="1:3" ht="15" thickBot="1" x14ac:dyDescent="0.35"/>
    <row r="67" spans="1:3" ht="21.6" thickBot="1" x14ac:dyDescent="0.45">
      <c r="A67" s="147" t="s">
        <v>417</v>
      </c>
      <c r="B67" s="148"/>
      <c r="C67" s="149"/>
    </row>
    <row r="68" spans="1:3" ht="15.6" x14ac:dyDescent="0.35">
      <c r="A68" s="10" t="s">
        <v>418</v>
      </c>
      <c r="B68" s="4">
        <v>265</v>
      </c>
      <c r="C68" s="11" t="s">
        <v>26</v>
      </c>
    </row>
    <row r="69" spans="1:3" ht="15.6" x14ac:dyDescent="0.35">
      <c r="A69" s="10" t="s">
        <v>419</v>
      </c>
      <c r="B69" s="4">
        <v>300</v>
      </c>
      <c r="C69" s="11" t="s">
        <v>26</v>
      </c>
    </row>
    <row r="70" spans="1:3" ht="15.6" x14ac:dyDescent="0.35">
      <c r="A70" s="10" t="s">
        <v>420</v>
      </c>
      <c r="B70" s="4">
        <v>160</v>
      </c>
      <c r="C70" s="11" t="s">
        <v>26</v>
      </c>
    </row>
    <row r="71" spans="1:3" ht="15.6" x14ac:dyDescent="0.35">
      <c r="A71" s="10" t="s">
        <v>183</v>
      </c>
      <c r="B71" s="4">
        <v>120</v>
      </c>
      <c r="C71" s="11" t="s">
        <v>26</v>
      </c>
    </row>
    <row r="72" spans="1:3" x14ac:dyDescent="0.3">
      <c r="A72" s="10" t="s">
        <v>421</v>
      </c>
      <c r="B72" s="4">
        <v>5000</v>
      </c>
      <c r="C72" s="11" t="s">
        <v>15</v>
      </c>
    </row>
    <row r="73" spans="1:3" x14ac:dyDescent="0.3">
      <c r="A73" s="10" t="s">
        <v>422</v>
      </c>
      <c r="B73" s="4">
        <v>25000</v>
      </c>
      <c r="C73" s="11" t="s">
        <v>15</v>
      </c>
    </row>
    <row r="74" spans="1:3" x14ac:dyDescent="0.3">
      <c r="A74" s="10" t="s">
        <v>423</v>
      </c>
      <c r="B74" s="4">
        <v>35000</v>
      </c>
      <c r="C74" s="11" t="s">
        <v>15</v>
      </c>
    </row>
    <row r="75" spans="1:3" x14ac:dyDescent="0.3">
      <c r="A75" s="10" t="s">
        <v>424</v>
      </c>
      <c r="B75" s="4">
        <v>0.31</v>
      </c>
      <c r="C75" s="11" t="s">
        <v>425</v>
      </c>
    </row>
    <row r="76" spans="1:3" x14ac:dyDescent="0.3">
      <c r="A76" s="10" t="s">
        <v>426</v>
      </c>
      <c r="B76" s="4">
        <v>500</v>
      </c>
      <c r="C76" s="11" t="s">
        <v>427</v>
      </c>
    </row>
    <row r="77" spans="1:3" ht="15" thickBot="1" x14ac:dyDescent="0.35">
      <c r="A77" s="13" t="s">
        <v>428</v>
      </c>
      <c r="B77" s="29">
        <v>45</v>
      </c>
      <c r="C77" s="17" t="s">
        <v>429</v>
      </c>
    </row>
    <row r="78" spans="1:3" ht="15" thickBot="1" x14ac:dyDescent="0.35"/>
    <row r="79" spans="1:3" ht="21.6" thickBot="1" x14ac:dyDescent="0.45">
      <c r="A79" s="150" t="s">
        <v>430</v>
      </c>
      <c r="B79" s="151"/>
      <c r="C79" s="152"/>
    </row>
    <row r="80" spans="1:3" x14ac:dyDescent="0.3">
      <c r="A80" s="10" t="s">
        <v>431</v>
      </c>
      <c r="B80" s="4">
        <v>600</v>
      </c>
      <c r="C80" s="11" t="s">
        <v>7</v>
      </c>
    </row>
    <row r="81" spans="1:5" x14ac:dyDescent="0.3">
      <c r="A81" s="10" t="s">
        <v>432</v>
      </c>
      <c r="B81" s="4">
        <v>640</v>
      </c>
      <c r="C81" s="11" t="s">
        <v>33</v>
      </c>
    </row>
    <row r="82" spans="1:5" x14ac:dyDescent="0.3">
      <c r="A82" s="10" t="s">
        <v>433</v>
      </c>
      <c r="B82" s="4">
        <v>700</v>
      </c>
      <c r="C82" s="11" t="s">
        <v>33</v>
      </c>
    </row>
    <row r="83" spans="1:5" x14ac:dyDescent="0.3">
      <c r="A83" s="10" t="s">
        <v>434</v>
      </c>
      <c r="B83" s="4">
        <v>2300</v>
      </c>
      <c r="C83" s="11" t="s">
        <v>434</v>
      </c>
    </row>
    <row r="84" spans="1:5" x14ac:dyDescent="0.3">
      <c r="A84" s="10" t="s">
        <v>435</v>
      </c>
      <c r="B84" s="4">
        <f>CONVERT(D84*1000,"g","lbm")</f>
        <v>455.03410914958732</v>
      </c>
      <c r="C84" s="11" t="s">
        <v>70</v>
      </c>
      <c r="D84">
        <v>206.4</v>
      </c>
      <c r="E84" t="s">
        <v>69</v>
      </c>
    </row>
    <row r="85" spans="1:5" x14ac:dyDescent="0.3">
      <c r="A85" s="10" t="s">
        <v>199</v>
      </c>
      <c r="B85" s="4">
        <v>4</v>
      </c>
      <c r="C85" s="11" t="s">
        <v>13</v>
      </c>
    </row>
    <row r="86" spans="1:5" x14ac:dyDescent="0.3">
      <c r="A86" s="10" t="s">
        <v>436</v>
      </c>
      <c r="B86" s="4">
        <v>0.93</v>
      </c>
      <c r="C86" s="11" t="s">
        <v>13</v>
      </c>
    </row>
    <row r="87" spans="1:5" x14ac:dyDescent="0.3">
      <c r="A87" s="10" t="s">
        <v>437</v>
      </c>
      <c r="B87" s="4">
        <v>0.85</v>
      </c>
      <c r="C87" s="11" t="s">
        <v>13</v>
      </c>
    </row>
    <row r="88" spans="1:5" x14ac:dyDescent="0.3">
      <c r="A88" s="10" t="s">
        <v>438</v>
      </c>
      <c r="B88">
        <v>8.42</v>
      </c>
      <c r="C88" s="11" t="s">
        <v>15</v>
      </c>
    </row>
    <row r="89" spans="1:5" x14ac:dyDescent="0.3">
      <c r="A89" s="10" t="s">
        <v>205</v>
      </c>
      <c r="C89" s="11" t="b">
        <v>0</v>
      </c>
    </row>
    <row r="90" spans="1:5" x14ac:dyDescent="0.3">
      <c r="A90" s="10" t="s">
        <v>208</v>
      </c>
      <c r="C90" s="11" t="b">
        <v>0</v>
      </c>
    </row>
    <row r="91" spans="1:5" ht="15" thickBot="1" x14ac:dyDescent="0.35">
      <c r="A91" s="13" t="s">
        <v>213</v>
      </c>
      <c r="B91" s="18"/>
      <c r="C91" s="17" t="b">
        <v>1</v>
      </c>
    </row>
    <row r="92" spans="1:5" ht="15" thickBot="1" x14ac:dyDescent="0.35"/>
    <row r="93" spans="1:5" ht="21.6" thickBot="1" x14ac:dyDescent="0.45">
      <c r="A93" s="153" t="s">
        <v>439</v>
      </c>
      <c r="B93" s="154"/>
      <c r="C93" s="155"/>
    </row>
    <row r="94" spans="1:5" ht="17.399999999999999" thickBot="1" x14ac:dyDescent="0.4">
      <c r="A94" s="13" t="s">
        <v>440</v>
      </c>
      <c r="B94" s="28"/>
      <c r="C94" s="17" t="s">
        <v>234</v>
      </c>
      <c r="E94" s="31"/>
    </row>
    <row r="95" spans="1:5" ht="15" thickBot="1" x14ac:dyDescent="0.35"/>
    <row r="96" spans="1:5" ht="21.6" thickBot="1" x14ac:dyDescent="0.45">
      <c r="A96" s="138" t="s">
        <v>441</v>
      </c>
      <c r="B96" s="139"/>
      <c r="C96" s="140"/>
    </row>
    <row r="97" spans="1:3" x14ac:dyDescent="0.3">
      <c r="A97" s="10" t="s">
        <v>442</v>
      </c>
      <c r="B97">
        <v>1.5</v>
      </c>
      <c r="C97" s="11" t="s">
        <v>13</v>
      </c>
    </row>
    <row r="98" spans="1:3" x14ac:dyDescent="0.3">
      <c r="A98" s="10" t="s">
        <v>443</v>
      </c>
      <c r="B98">
        <v>2.5</v>
      </c>
      <c r="C98" s="11" t="s">
        <v>110</v>
      </c>
    </row>
    <row r="99" spans="1:3" x14ac:dyDescent="0.3">
      <c r="A99" s="10" t="s">
        <v>444</v>
      </c>
      <c r="B99">
        <v>-1</v>
      </c>
      <c r="C99" s="11" t="s">
        <v>110</v>
      </c>
    </row>
    <row r="100" spans="1:3" x14ac:dyDescent="0.3">
      <c r="A100" s="10" t="s">
        <v>445</v>
      </c>
      <c r="B100">
        <v>100</v>
      </c>
      <c r="C100" s="11" t="s">
        <v>15</v>
      </c>
    </row>
    <row r="101" spans="1:3" ht="16.8" x14ac:dyDescent="0.35">
      <c r="A101" s="10" t="s">
        <v>446</v>
      </c>
      <c r="B101" s="4">
        <v>65</v>
      </c>
      <c r="C101" s="11" t="s">
        <v>447</v>
      </c>
    </row>
    <row r="102" spans="1:3" x14ac:dyDescent="0.3">
      <c r="A102" s="24" t="s">
        <v>185</v>
      </c>
      <c r="B102" s="26"/>
      <c r="C102" s="27"/>
    </row>
    <row r="103" spans="1:3" x14ac:dyDescent="0.3">
      <c r="A103" s="10" t="s">
        <v>448</v>
      </c>
      <c r="B103">
        <v>65</v>
      </c>
      <c r="C103" s="11" t="s">
        <v>15</v>
      </c>
    </row>
    <row r="104" spans="1:3" x14ac:dyDescent="0.3">
      <c r="A104" s="10" t="s">
        <v>449</v>
      </c>
      <c r="B104">
        <v>78.62</v>
      </c>
      <c r="C104" s="11" t="s">
        <v>15</v>
      </c>
    </row>
    <row r="105" spans="1:3" x14ac:dyDescent="0.3">
      <c r="A105" s="10" t="s">
        <v>450</v>
      </c>
      <c r="B105">
        <v>15</v>
      </c>
      <c r="C105" s="11" t="s">
        <v>15</v>
      </c>
    </row>
    <row r="106" spans="1:3" x14ac:dyDescent="0.3">
      <c r="A106" s="10" t="s">
        <v>451</v>
      </c>
      <c r="B106">
        <v>15</v>
      </c>
      <c r="C106" s="11" t="s">
        <v>15</v>
      </c>
    </row>
    <row r="107" spans="1:3" ht="16.2" x14ac:dyDescent="0.3">
      <c r="A107" s="10" t="s">
        <v>452</v>
      </c>
      <c r="B107">
        <v>200</v>
      </c>
      <c r="C107" s="11" t="s">
        <v>137</v>
      </c>
    </row>
    <row r="108" spans="1:3" x14ac:dyDescent="0.3">
      <c r="A108" s="24" t="s">
        <v>190</v>
      </c>
      <c r="B108" s="14"/>
      <c r="C108" s="25"/>
    </row>
    <row r="109" spans="1:3" ht="15.6" x14ac:dyDescent="0.35">
      <c r="A109" s="10" t="s">
        <v>453</v>
      </c>
      <c r="B109">
        <v>8</v>
      </c>
      <c r="C109" s="11" t="s">
        <v>15</v>
      </c>
    </row>
    <row r="110" spans="1:3" ht="15.6" x14ac:dyDescent="0.35">
      <c r="A110" s="10" t="s">
        <v>454</v>
      </c>
      <c r="B110">
        <v>4</v>
      </c>
      <c r="C110" s="11" t="s">
        <v>15</v>
      </c>
    </row>
    <row r="111" spans="1:3" ht="16.2" x14ac:dyDescent="0.3">
      <c r="A111" s="10" t="s">
        <v>455</v>
      </c>
      <c r="B111">
        <v>30</v>
      </c>
      <c r="C111" s="11" t="s">
        <v>137</v>
      </c>
    </row>
    <row r="112" spans="1:3" ht="15" thickBot="1" x14ac:dyDescent="0.35">
      <c r="A112" s="13" t="s">
        <v>204</v>
      </c>
      <c r="B112" s="18"/>
      <c r="C112" s="17" t="b">
        <v>0</v>
      </c>
    </row>
    <row r="114" spans="1:3" ht="15" thickBot="1" x14ac:dyDescent="0.35"/>
    <row r="115" spans="1:3" ht="21.6" thickBot="1" x14ac:dyDescent="0.45">
      <c r="A115" s="141" t="s">
        <v>456</v>
      </c>
      <c r="B115" s="142"/>
      <c r="C115" s="143"/>
    </row>
    <row r="116" spans="1:3" ht="16.2" x14ac:dyDescent="0.3">
      <c r="A116" t="s">
        <v>457</v>
      </c>
      <c r="B116">
        <v>9.81</v>
      </c>
      <c r="C116" t="s">
        <v>23</v>
      </c>
    </row>
    <row r="117" spans="1:3" x14ac:dyDescent="0.3">
      <c r="A117" t="s">
        <v>134</v>
      </c>
      <c r="B117">
        <f>SUM(B45:B46)</f>
        <v>40</v>
      </c>
      <c r="C117" t="s">
        <v>13</v>
      </c>
    </row>
  </sheetData>
  <mergeCells count="7">
    <mergeCell ref="A1:C4"/>
    <mergeCell ref="A96:C96"/>
    <mergeCell ref="A115:C115"/>
    <mergeCell ref="A44:C44"/>
    <mergeCell ref="A67:C67"/>
    <mergeCell ref="A79:C79"/>
    <mergeCell ref="A93:C93"/>
  </mergeCells>
  <phoneticPr fontId="10" type="noConversion"/>
  <pageMargins left="0.7" right="0.7" top="0.75" bottom="0.75" header="0.3" footer="0.3"/>
  <ignoredErrors>
    <ignoredError sqref="B117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Check Box 3">
              <controlPr defaultSize="0" autoFill="0" autoLine="0" autoPict="0">
                <anchor moveWithCells="1">
                  <from>
                    <xdr:col>1</xdr:col>
                    <xdr:colOff>205740</xdr:colOff>
                    <xdr:row>29</xdr:row>
                    <xdr:rowOff>182880</xdr:rowOff>
                  </from>
                  <to>
                    <xdr:col>2</xdr:col>
                    <xdr:colOff>335280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4" name="Check Box 7">
              <controlPr defaultSize="0" autoFill="0" autoLine="0" autoPict="0">
                <anchor moveWithCells="1">
                  <from>
                    <xdr:col>1</xdr:col>
                    <xdr:colOff>205740</xdr:colOff>
                    <xdr:row>38</xdr:row>
                    <xdr:rowOff>190500</xdr:rowOff>
                  </from>
                  <to>
                    <xdr:col>1</xdr:col>
                    <xdr:colOff>449580</xdr:colOff>
                    <xdr:row>40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5" name="Check Box 8">
              <controlPr defaultSize="0" autoFill="0" autoLine="0" autoPict="0">
                <anchor moveWithCells="1">
                  <from>
                    <xdr:col>1</xdr:col>
                    <xdr:colOff>198120</xdr:colOff>
                    <xdr:row>52</xdr:row>
                    <xdr:rowOff>0</xdr:rowOff>
                  </from>
                  <to>
                    <xdr:col>1</xdr:col>
                    <xdr:colOff>441960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6" name="Check Box 9">
              <controlPr defaultSize="0" autoFill="0" autoLine="0" autoPict="0">
                <anchor moveWithCells="1">
                  <from>
                    <xdr:col>1</xdr:col>
                    <xdr:colOff>182880</xdr:colOff>
                    <xdr:row>59</xdr:row>
                    <xdr:rowOff>182880</xdr:rowOff>
                  </from>
                  <to>
                    <xdr:col>1</xdr:col>
                    <xdr:colOff>426720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7" name="Check Box 10">
              <controlPr defaultSize="0" autoFill="0" autoLine="0" autoPict="0">
                <anchor moveWithCells="1">
                  <from>
                    <xdr:col>1</xdr:col>
                    <xdr:colOff>182880</xdr:colOff>
                    <xdr:row>63</xdr:row>
                    <xdr:rowOff>182880</xdr:rowOff>
                  </from>
                  <to>
                    <xdr:col>1</xdr:col>
                    <xdr:colOff>426720</xdr:colOff>
                    <xdr:row>65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8" name="Check Box 11">
              <controlPr defaultSize="0" autoFill="0" autoLine="0" autoPict="0">
                <anchor moveWithCells="1">
                  <from>
                    <xdr:col>1</xdr:col>
                    <xdr:colOff>182880</xdr:colOff>
                    <xdr:row>111</xdr:row>
                    <xdr:rowOff>0</xdr:rowOff>
                  </from>
                  <to>
                    <xdr:col>1</xdr:col>
                    <xdr:colOff>419100</xdr:colOff>
                    <xdr:row>112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9" name="Check Box 13">
              <controlPr defaultSize="0" autoFill="0" autoLine="0" autoPict="0">
                <anchor moveWithCells="1">
                  <from>
                    <xdr:col>1</xdr:col>
                    <xdr:colOff>167640</xdr:colOff>
                    <xdr:row>87</xdr:row>
                    <xdr:rowOff>175260</xdr:rowOff>
                  </from>
                  <to>
                    <xdr:col>1</xdr:col>
                    <xdr:colOff>411480</xdr:colOff>
                    <xdr:row>89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0" name="Check Box 14">
              <controlPr defaultSize="0" autoFill="0" autoLine="0" autoPict="0">
                <anchor moveWithCells="1">
                  <from>
                    <xdr:col>1</xdr:col>
                    <xdr:colOff>160020</xdr:colOff>
                    <xdr:row>90</xdr:row>
                    <xdr:rowOff>0</xdr:rowOff>
                  </from>
                  <to>
                    <xdr:col>1</xdr:col>
                    <xdr:colOff>403860</xdr:colOff>
                    <xdr:row>91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1" name="Check Box 15">
              <controlPr defaultSize="0" autoFill="0" autoLine="0" autoPict="0">
                <anchor moveWithCells="1">
                  <from>
                    <xdr:col>1</xdr:col>
                    <xdr:colOff>160020</xdr:colOff>
                    <xdr:row>89</xdr:row>
                    <xdr:rowOff>0</xdr:rowOff>
                  </from>
                  <to>
                    <xdr:col>1</xdr:col>
                    <xdr:colOff>403860</xdr:colOff>
                    <xdr:row>90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90DFE-0B47-42A4-9161-D31F44DCF8BB}">
  <sheetPr codeName="Sheet3"/>
  <dimension ref="A1:M127"/>
  <sheetViews>
    <sheetView workbookViewId="0">
      <selection activeCell="D3" sqref="D3"/>
    </sheetView>
  </sheetViews>
  <sheetFormatPr defaultRowHeight="14.4" x14ac:dyDescent="0.3"/>
  <cols>
    <col min="1" max="1" width="17.33203125" customWidth="1"/>
    <col min="2" max="2" width="15.33203125" customWidth="1"/>
    <col min="4" max="4" width="57.5546875" customWidth="1"/>
    <col min="9" max="9" width="15" customWidth="1"/>
  </cols>
  <sheetData>
    <row r="1" spans="1:13" x14ac:dyDescent="0.3">
      <c r="A1" s="103" t="s">
        <v>458</v>
      </c>
      <c r="B1" s="114"/>
      <c r="C1" s="114"/>
      <c r="D1" s="19"/>
    </row>
    <row r="2" spans="1:13" x14ac:dyDescent="0.3">
      <c r="A2" s="114"/>
      <c r="B2" s="114"/>
      <c r="C2" s="114"/>
      <c r="D2" s="19" t="s">
        <v>585</v>
      </c>
    </row>
    <row r="3" spans="1:13" ht="15" thickBot="1" x14ac:dyDescent="0.35">
      <c r="A3" s="114"/>
      <c r="B3" s="114"/>
      <c r="C3" s="114"/>
      <c r="D3" s="19" t="s">
        <v>459</v>
      </c>
    </row>
    <row r="4" spans="1:13" ht="15" thickBot="1" x14ac:dyDescent="0.35">
      <c r="A4" s="156" t="s">
        <v>116</v>
      </c>
      <c r="B4" s="156"/>
      <c r="C4" s="156"/>
      <c r="D4" s="14" t="s">
        <v>460</v>
      </c>
      <c r="I4" s="161" t="s">
        <v>461</v>
      </c>
      <c r="J4" s="162"/>
      <c r="K4" s="162"/>
      <c r="L4" s="162"/>
      <c r="M4" s="163"/>
    </row>
    <row r="5" spans="1:13" x14ac:dyDescent="0.3">
      <c r="A5" t="s">
        <v>462</v>
      </c>
      <c r="B5">
        <f>Sizing!D41</f>
        <v>87856.052035216751</v>
      </c>
      <c r="C5" t="s">
        <v>70</v>
      </c>
      <c r="D5" t="s">
        <v>463</v>
      </c>
      <c r="I5" s="10" t="s">
        <v>176</v>
      </c>
      <c r="J5" s="11">
        <f>0.0051*(($B$5*$B$6)^0.557)*($B$7^0.649)*($B$9^0.5)*($B$10^-0.4)*((1+$B$11)^0.1)*((COS($B$12))^-1)*($B$8^0.1)</f>
        <v>4352.0366669744762</v>
      </c>
      <c r="K5" s="157" t="s">
        <v>70</v>
      </c>
      <c r="L5">
        <f>CONVERT(J5,"lbm","g")/1000</f>
        <v>1974.0506260998536</v>
      </c>
      <c r="M5" s="159" t="s">
        <v>69</v>
      </c>
    </row>
    <row r="6" spans="1:13" x14ac:dyDescent="0.3">
      <c r="A6" t="s">
        <v>464</v>
      </c>
      <c r="B6">
        <f>1.5*'🚫'!B98</f>
        <v>3.75</v>
      </c>
      <c r="C6" t="str">
        <f>'🚫'!C98</f>
        <v>g</v>
      </c>
      <c r="D6" t="s">
        <v>465</v>
      </c>
      <c r="I6" s="10" t="s">
        <v>117</v>
      </c>
      <c r="J6" s="11">
        <f>0.0379*$B$15*((1+($B$16/$B$17))^-0.25)*($B$18^0.639)*(B19^0.1)*($B$20^0.75)*($B$21^-1)*($B$22^0.704)*((COS($B$23)^-1))*(B24^0.166)*((1+($B$25/$B$20))^0.1)</f>
        <v>525.67353057366506</v>
      </c>
      <c r="K6" s="157"/>
      <c r="L6">
        <f t="shared" ref="L6:L23" si="0">CONVERT(J6,"lbm","g")/1000</f>
        <v>238.44150257917622</v>
      </c>
      <c r="M6" s="159"/>
    </row>
    <row r="7" spans="1:13" x14ac:dyDescent="0.3">
      <c r="A7" t="s">
        <v>466</v>
      </c>
      <c r="B7">
        <f>'🚫'!B19</f>
        <v>405.08</v>
      </c>
      <c r="C7" t="str">
        <f>'🚫'!C19</f>
        <v>ft2</v>
      </c>
      <c r="D7" t="s">
        <v>467</v>
      </c>
      <c r="I7" s="10" t="s">
        <v>118</v>
      </c>
      <c r="J7" s="11">
        <f>0.0026*((1+($B$28))^0.225)*($B$29^0.556)*($B$30^0.536)*($B$31^-0.5)*($B$32^0.5)*($B$33^0.875)*(COS($B$34)^-1)*($B$35^0.35)*($B$36^-0.5)</f>
        <v>294.8842553583633</v>
      </c>
      <c r="K7" s="157"/>
      <c r="L7">
        <f>CONVERT(J7,"lbm","g")/1000</f>
        <v>133.7572482636852</v>
      </c>
      <c r="M7" s="159"/>
    </row>
    <row r="8" spans="1:13" x14ac:dyDescent="0.3">
      <c r="A8" t="s">
        <v>468</v>
      </c>
      <c r="B8">
        <f>'🚫'!B20</f>
        <v>200</v>
      </c>
      <c r="C8" t="str">
        <f>'🚫'!C20</f>
        <v>ft2</v>
      </c>
      <c r="D8" t="s">
        <v>469</v>
      </c>
      <c r="I8" s="10" t="s">
        <v>185</v>
      </c>
      <c r="J8" s="11">
        <f>0.328*$B$39*$B$40*(($B$41*$B$42)^0.5)*($B$43^0.25)*($B$44^0.302)*((1+$B$45)^0.04)*($B$46^0.1)</f>
        <v>3769.398109523368</v>
      </c>
      <c r="K8" s="157"/>
      <c r="L8">
        <f t="shared" si="0"/>
        <v>1709.7702219722241</v>
      </c>
      <c r="M8" s="159"/>
    </row>
    <row r="9" spans="1:13" x14ac:dyDescent="0.3">
      <c r="A9" t="s">
        <v>91</v>
      </c>
      <c r="B9">
        <f>Sizing!B7</f>
        <v>11</v>
      </c>
      <c r="C9" t="str">
        <f>Sizing!C7</f>
        <v>#</v>
      </c>
      <c r="D9" t="s">
        <v>470</v>
      </c>
      <c r="F9" s="1"/>
      <c r="I9" s="10" t="s">
        <v>187</v>
      </c>
      <c r="J9" s="11">
        <f>0.0106*$B$49*($B$50^0.888)*($B$51^0.25)*($B$52^0.4)*($B$53^0.321)*($B$54^-0.5)*($B$55^0.1)</f>
        <v>1498.8390896141937</v>
      </c>
      <c r="K9" s="157"/>
      <c r="L9">
        <f t="shared" si="0"/>
        <v>679.86197490674454</v>
      </c>
      <c r="M9" s="159"/>
    </row>
    <row r="10" spans="1:13" x14ac:dyDescent="0.3">
      <c r="A10" t="s">
        <v>471</v>
      </c>
      <c r="B10">
        <f>'🚫'!B12</f>
        <v>0.1</v>
      </c>
      <c r="C10" t="str">
        <f>'🚫'!C12</f>
        <v>#</v>
      </c>
      <c r="D10" t="s">
        <v>472</v>
      </c>
      <c r="I10" s="10" t="s">
        <v>189</v>
      </c>
      <c r="J10" s="11">
        <f>0.032*($B$58)*($B$59^0.646)*($B$60^0.2)*($B$61^0.5)*($B$62^0.45)</f>
        <v>579.91319143508554</v>
      </c>
      <c r="K10" s="157"/>
      <c r="L10">
        <f t="shared" si="0"/>
        <v>263.04419889730417</v>
      </c>
      <c r="M10" s="159"/>
    </row>
    <row r="11" spans="1:13" x14ac:dyDescent="0.3">
      <c r="A11" t="s">
        <v>473</v>
      </c>
      <c r="B11">
        <f>'🚫'!B17</f>
        <v>0.4</v>
      </c>
      <c r="C11" t="str">
        <f>'🚫'!C17</f>
        <v>#</v>
      </c>
      <c r="D11" t="s">
        <v>474</v>
      </c>
      <c r="I11" s="10" t="s">
        <v>190</v>
      </c>
      <c r="J11" s="11">
        <f>0.6724*$B$65*($B$66^0.1)*($B$67^0.294)*($B$68^0.119)*($B$71^0.611)*($B$72^0.984)*($B$73^0.224)</f>
        <v>730.61611567476962</v>
      </c>
      <c r="K11" s="157"/>
      <c r="L11">
        <f t="shared" si="0"/>
        <v>331.4018954691129</v>
      </c>
      <c r="M11" s="159"/>
    </row>
    <row r="12" spans="1:13" x14ac:dyDescent="0.3">
      <c r="A12" t="s">
        <v>475</v>
      </c>
      <c r="B12">
        <f>'🚫'!B21</f>
        <v>0</v>
      </c>
      <c r="C12" t="str">
        <f>'🚫'!C21</f>
        <v>#</v>
      </c>
      <c r="D12" t="s">
        <v>476</v>
      </c>
      <c r="I12" s="10" t="s">
        <v>195</v>
      </c>
      <c r="J12" s="11">
        <f>5*$B$76+0.8*$B$77</f>
        <v>100</v>
      </c>
      <c r="K12" s="157"/>
      <c r="L12">
        <f t="shared" si="0"/>
        <v>45.359237</v>
      </c>
      <c r="M12" s="159"/>
    </row>
    <row r="13" spans="1:13" x14ac:dyDescent="0.3">
      <c r="I13" s="10" t="s">
        <v>218</v>
      </c>
      <c r="J13" s="11">
        <f>49.19*((($B$80*$B$81/1000)^0.541))</f>
        <v>68.013176096430158</v>
      </c>
      <c r="K13" s="157"/>
      <c r="L13">
        <f t="shared" si="0"/>
        <v>30.850257736807102</v>
      </c>
      <c r="M13" s="159"/>
    </row>
    <row r="14" spans="1:13" x14ac:dyDescent="0.3">
      <c r="A14" s="156" t="s">
        <v>117</v>
      </c>
      <c r="B14" s="156"/>
      <c r="C14" s="156"/>
      <c r="I14" s="10" t="s">
        <v>197</v>
      </c>
      <c r="J14" s="11">
        <f>145.9*$B$84^0.554*((1+($B$85/$B$84))^-1)*($B$86^0.2)*(($B$87*10^-6)^0.07)</f>
        <v>1429.6342994095712</v>
      </c>
      <c r="K14" s="157"/>
      <c r="L14">
        <f t="shared" si="0"/>
        <v>648.47121010247702</v>
      </c>
      <c r="M14" s="159"/>
    </row>
    <row r="15" spans="1:13" x14ac:dyDescent="0.3">
      <c r="A15" t="s">
        <v>477</v>
      </c>
      <c r="B15">
        <f>IF('🚫'!C31=TRUE,1.143,1)</f>
        <v>1</v>
      </c>
      <c r="C15" t="s">
        <v>13</v>
      </c>
      <c r="D15" t="s">
        <v>478</v>
      </c>
      <c r="I15" s="10" t="s">
        <v>209</v>
      </c>
      <c r="J15" s="11">
        <f>2.2*$B$90</f>
        <v>330</v>
      </c>
      <c r="K15" s="157"/>
      <c r="L15">
        <f t="shared" si="0"/>
        <v>149.6854821</v>
      </c>
      <c r="M15" s="159"/>
    </row>
    <row r="16" spans="1:13" x14ac:dyDescent="0.3">
      <c r="A16" t="s">
        <v>479</v>
      </c>
      <c r="B16">
        <f>'🚫'!B106</f>
        <v>15</v>
      </c>
      <c r="C16" t="str">
        <f>'🚫'!C106</f>
        <v>ft</v>
      </c>
      <c r="D16" t="s">
        <v>451</v>
      </c>
      <c r="I16" s="10" t="s">
        <v>219</v>
      </c>
      <c r="J16" s="11">
        <f>4.509*$B$93*$B$94*($B$95^0.541)*($B$96)*(($B$97+$B$98)^0.5)</f>
        <v>258.00957863967164</v>
      </c>
      <c r="K16" s="157"/>
      <c r="L16">
        <f>CONVERT(J16,"lbm","g")/1000</f>
        <v>117.03117625787004</v>
      </c>
      <c r="M16" s="159"/>
    </row>
    <row r="17" spans="1:13" x14ac:dyDescent="0.3">
      <c r="A17" t="s">
        <v>480</v>
      </c>
      <c r="B17">
        <f>'🚫'!B27</f>
        <v>22.85</v>
      </c>
      <c r="C17" t="str">
        <f>'🚫'!C27</f>
        <v>ft</v>
      </c>
      <c r="D17" t="s">
        <v>481</v>
      </c>
      <c r="I17" s="10" t="s">
        <v>214</v>
      </c>
      <c r="J17" s="11">
        <f>0.2673*$B$101*(($B$102+$B$103)^0.937)</f>
        <v>209.44179962390862</v>
      </c>
      <c r="K17" s="157"/>
      <c r="L17">
        <f t="shared" si="0"/>
        <v>95.001202268473818</v>
      </c>
      <c r="M17" s="159"/>
    </row>
    <row r="18" spans="1:13" x14ac:dyDescent="0.3">
      <c r="A18" t="str">
        <f t="shared" ref="A18:C19" si="1">A5</f>
        <v>Wdg</v>
      </c>
      <c r="B18">
        <f t="shared" si="1"/>
        <v>87856.052035216751</v>
      </c>
      <c r="C18" t="str">
        <f t="shared" si="1"/>
        <v>lbs</v>
      </c>
      <c r="I18" s="10" t="s">
        <v>220</v>
      </c>
      <c r="J18" s="11">
        <f>7.291*($B$106^0.782)*($B$107^0.346)*($B$108^0.1)</f>
        <v>667.71530238055743</v>
      </c>
      <c r="K18" s="157"/>
      <c r="L18">
        <f t="shared" si="0"/>
        <v>302.87056649206369</v>
      </c>
      <c r="M18" s="159"/>
    </row>
    <row r="19" spans="1:13" x14ac:dyDescent="0.3">
      <c r="A19" t="str">
        <f t="shared" si="1"/>
        <v>Nz</v>
      </c>
      <c r="B19">
        <f t="shared" si="1"/>
        <v>3.75</v>
      </c>
      <c r="C19" t="str">
        <f t="shared" si="1"/>
        <v>g</v>
      </c>
      <c r="I19" s="10" t="s">
        <v>95</v>
      </c>
      <c r="J19" s="11">
        <f>1.73*($B$111^0.983)</f>
        <v>471.03838197862501</v>
      </c>
      <c r="K19" s="157"/>
      <c r="L19">
        <f t="shared" si="0"/>
        <v>213.65941604264984</v>
      </c>
      <c r="M19" s="159"/>
    </row>
    <row r="20" spans="1:13" x14ac:dyDescent="0.3">
      <c r="A20" t="s">
        <v>482</v>
      </c>
      <c r="B20">
        <f>'🚫'!B28</f>
        <v>128.29</v>
      </c>
      <c r="C20" t="str">
        <f>'🚫'!C28</f>
        <v>ft2</v>
      </c>
      <c r="D20" t="s">
        <v>483</v>
      </c>
      <c r="I20" s="10" t="s">
        <v>240</v>
      </c>
      <c r="J20" s="11">
        <f>0.0577*($B$114^0.1)*($B$115^0.393)*($B$116^0.75)</f>
        <v>67.705417898708788</v>
      </c>
      <c r="K20" s="157"/>
      <c r="L20">
        <f t="shared" si="0"/>
        <v>30.710660966515743</v>
      </c>
      <c r="M20" s="159"/>
    </row>
    <row r="21" spans="1:13" x14ac:dyDescent="0.3">
      <c r="A21" t="s">
        <v>484</v>
      </c>
      <c r="B21">
        <f>'🚫'!B105</f>
        <v>15</v>
      </c>
      <c r="C21" t="s">
        <v>15</v>
      </c>
      <c r="D21" t="s">
        <v>450</v>
      </c>
      <c r="I21" s="10" t="s">
        <v>206</v>
      </c>
      <c r="J21" s="11">
        <f>62.36*($B$119^0.25)*(($B$120/1000)^0.604)*($B$121^0.1)</f>
        <v>1019.5838605856658</v>
      </c>
      <c r="K21" s="157"/>
      <c r="L21">
        <f t="shared" si="0"/>
        <v>462.47545973680172</v>
      </c>
      <c r="M21" s="159"/>
    </row>
    <row r="22" spans="1:13" x14ac:dyDescent="0.3">
      <c r="A22" t="s">
        <v>272</v>
      </c>
      <c r="B22">
        <f>0.3*$B$21</f>
        <v>4.5</v>
      </c>
      <c r="C22" t="s">
        <v>13</v>
      </c>
      <c r="I22" s="10" t="s">
        <v>221</v>
      </c>
      <c r="J22" s="11">
        <f>0.002*$B$124</f>
        <v>175.7121040704335</v>
      </c>
      <c r="K22" s="157"/>
      <c r="L22">
        <f t="shared" si="0"/>
        <v>79.701669722994581</v>
      </c>
      <c r="M22" s="159"/>
    </row>
    <row r="23" spans="1:13" ht="15" thickBot="1" x14ac:dyDescent="0.35">
      <c r="A23" t="s">
        <v>485</v>
      </c>
      <c r="C23" t="str">
        <f>'🚫'!C30</f>
        <v>#</v>
      </c>
      <c r="I23" s="13" t="s">
        <v>486</v>
      </c>
      <c r="J23" s="17">
        <f>3*(10^-4)*$B$127</f>
        <v>26.356815610565029</v>
      </c>
      <c r="K23" s="158"/>
      <c r="L23" s="18">
        <f t="shared" si="0"/>
        <v>11.955250458449189</v>
      </c>
      <c r="M23" s="160"/>
    </row>
    <row r="24" spans="1:13" ht="15" thickBot="1" x14ac:dyDescent="0.35">
      <c r="A24" t="s">
        <v>487</v>
      </c>
      <c r="B24">
        <f>'🚫'!B25</f>
        <v>4.0698612518512753</v>
      </c>
      <c r="C24" t="str">
        <f>'🚫'!C25</f>
        <v>#</v>
      </c>
      <c r="I24" s="20" t="s">
        <v>488</v>
      </c>
      <c r="J24" s="23">
        <f>SUM(J5:J23)</f>
        <v>16574.571695448059</v>
      </c>
      <c r="K24" s="21" t="s">
        <v>70</v>
      </c>
      <c r="L24" s="23">
        <f>SUM(L5:L23)</f>
        <v>7518.0992570732042</v>
      </c>
      <c r="M24" s="22" t="s">
        <v>69</v>
      </c>
    </row>
    <row r="25" spans="1:13" x14ac:dyDescent="0.3">
      <c r="A25" t="s">
        <v>489</v>
      </c>
      <c r="B25">
        <f>'🚫'!B29</f>
        <v>50</v>
      </c>
      <c r="C25" t="str">
        <f>'🚫'!C29</f>
        <v>ft2</v>
      </c>
      <c r="D25" t="s">
        <v>490</v>
      </c>
    </row>
    <row r="27" spans="1:13" x14ac:dyDescent="0.3">
      <c r="A27" s="156" t="s">
        <v>118</v>
      </c>
      <c r="B27" s="156"/>
      <c r="C27" s="156"/>
    </row>
    <row r="28" spans="1:13" x14ac:dyDescent="0.3">
      <c r="A28" t="s">
        <v>491</v>
      </c>
      <c r="B28">
        <f>IF('🚫'!C40=TRUE,1,0)</f>
        <v>1</v>
      </c>
      <c r="D28" t="s">
        <v>492</v>
      </c>
    </row>
    <row r="29" spans="1:13" x14ac:dyDescent="0.3">
      <c r="A29" t="str">
        <f t="shared" ref="A29:C30" si="2">A5</f>
        <v>Wdg</v>
      </c>
      <c r="B29">
        <f t="shared" si="2"/>
        <v>87856.052035216751</v>
      </c>
      <c r="C29" t="str">
        <f t="shared" si="2"/>
        <v>lbs</v>
      </c>
    </row>
    <row r="30" spans="1:13" x14ac:dyDescent="0.3">
      <c r="A30" t="str">
        <f t="shared" si="2"/>
        <v>Nz</v>
      </c>
      <c r="B30">
        <f t="shared" si="2"/>
        <v>3.75</v>
      </c>
      <c r="C30" t="str">
        <f t="shared" si="2"/>
        <v>g</v>
      </c>
    </row>
    <row r="31" spans="1:13" x14ac:dyDescent="0.3">
      <c r="A31" t="str">
        <f>A21</f>
        <v>Lt</v>
      </c>
      <c r="B31">
        <f>B21</f>
        <v>15</v>
      </c>
      <c r="C31" t="str">
        <f>C21</f>
        <v>ft</v>
      </c>
    </row>
    <row r="32" spans="1:13" x14ac:dyDescent="0.3">
      <c r="A32" t="s">
        <v>493</v>
      </c>
      <c r="B32">
        <f>'🚫'!B38</f>
        <v>82</v>
      </c>
      <c r="C32" t="str">
        <f>'🚫'!C38</f>
        <v>ft2</v>
      </c>
      <c r="D32" t="s">
        <v>494</v>
      </c>
    </row>
    <row r="33" spans="1:4" x14ac:dyDescent="0.3">
      <c r="A33" t="s">
        <v>495</v>
      </c>
      <c r="B33">
        <f>$B$31</f>
        <v>15</v>
      </c>
      <c r="C33" t="s">
        <v>13</v>
      </c>
      <c r="D33" t="s">
        <v>496</v>
      </c>
    </row>
    <row r="34" spans="1:4" x14ac:dyDescent="0.3">
      <c r="A34" t="s">
        <v>497</v>
      </c>
      <c r="B34">
        <f>'🚫'!B39</f>
        <v>0</v>
      </c>
      <c r="C34" t="str">
        <f>'🚫'!C39</f>
        <v>#</v>
      </c>
    </row>
    <row r="35" spans="1:4" x14ac:dyDescent="0.3">
      <c r="A35" t="s">
        <v>498</v>
      </c>
      <c r="B35">
        <f>'🚫'!B35</f>
        <v>1.2391024390243903</v>
      </c>
      <c r="C35" t="str">
        <f>'🚫'!C35</f>
        <v>#</v>
      </c>
    </row>
    <row r="36" spans="1:4" x14ac:dyDescent="0.3">
      <c r="A36" t="str">
        <f>A10</f>
        <v>t/c</v>
      </c>
      <c r="B36">
        <f>B10</f>
        <v>0.1</v>
      </c>
      <c r="C36" t="str">
        <f>C10</f>
        <v>#</v>
      </c>
    </row>
    <row r="38" spans="1:4" x14ac:dyDescent="0.3">
      <c r="A38" s="156" t="s">
        <v>164</v>
      </c>
      <c r="B38" s="156"/>
      <c r="C38" s="156"/>
    </row>
    <row r="39" spans="1:4" x14ac:dyDescent="0.3">
      <c r="A39" t="s">
        <v>499</v>
      </c>
      <c r="B39" s="4">
        <v>1.1200000000000001</v>
      </c>
      <c r="C39" t="s">
        <v>13</v>
      </c>
      <c r="D39" t="s">
        <v>500</v>
      </c>
    </row>
    <row r="40" spans="1:4" x14ac:dyDescent="0.3">
      <c r="A40" t="s">
        <v>501</v>
      </c>
      <c r="B40">
        <f>IF('🚫'!C53=TRUE,1.12,1)</f>
        <v>1</v>
      </c>
      <c r="C40" t="s">
        <v>13</v>
      </c>
      <c r="D40" t="s">
        <v>502</v>
      </c>
    </row>
    <row r="41" spans="1:4" x14ac:dyDescent="0.3">
      <c r="A41" t="str">
        <f>A5</f>
        <v>Wdg</v>
      </c>
      <c r="B41">
        <f>B5</f>
        <v>87856.052035216751</v>
      </c>
      <c r="C41" t="str">
        <f>C5</f>
        <v>lbs</v>
      </c>
    </row>
    <row r="42" spans="1:4" x14ac:dyDescent="0.3">
      <c r="A42" t="str">
        <f>A6</f>
        <v>Nz</v>
      </c>
      <c r="B42">
        <f>B6</f>
        <v>3.75</v>
      </c>
      <c r="C42" t="s">
        <v>13</v>
      </c>
    </row>
    <row r="43" spans="1:4" x14ac:dyDescent="0.3">
      <c r="A43" t="s">
        <v>503</v>
      </c>
      <c r="B43">
        <f>'🚫'!B103</f>
        <v>65</v>
      </c>
      <c r="C43" t="str">
        <f>'🚫'!C103</f>
        <v>ft</v>
      </c>
      <c r="D43" t="s">
        <v>504</v>
      </c>
    </row>
    <row r="44" spans="1:4" x14ac:dyDescent="0.3">
      <c r="A44" t="s">
        <v>505</v>
      </c>
      <c r="B44">
        <f>'🚫'!B107</f>
        <v>200</v>
      </c>
      <c r="C44" t="str">
        <f>'🚫'!C107</f>
        <v>ft2</v>
      </c>
      <c r="D44" t="s">
        <v>452</v>
      </c>
    </row>
    <row r="45" spans="1:4" x14ac:dyDescent="0.3">
      <c r="A45" t="s">
        <v>506</v>
      </c>
      <c r="B45">
        <f>0.75*((1+(2*$B$11))/(1+$B$11))*($B$98*(TAN($B$12/$B$43)))</f>
        <v>0</v>
      </c>
      <c r="C45" t="s">
        <v>13</v>
      </c>
      <c r="D45" t="s">
        <v>507</v>
      </c>
    </row>
    <row r="46" spans="1:4" x14ac:dyDescent="0.3">
      <c r="A46" t="s">
        <v>186</v>
      </c>
      <c r="B46">
        <f>'🚫'!B13</f>
        <v>11</v>
      </c>
      <c r="C46" t="s">
        <v>13</v>
      </c>
    </row>
    <row r="48" spans="1:4" x14ac:dyDescent="0.3">
      <c r="A48" s="156" t="s">
        <v>187</v>
      </c>
      <c r="B48" s="156"/>
      <c r="C48" s="156"/>
    </row>
    <row r="49" spans="1:4" x14ac:dyDescent="0.3">
      <c r="A49" t="s">
        <v>508</v>
      </c>
      <c r="B49">
        <f>IF('🚫'!C61=TRUE,1.126,1)</f>
        <v>1</v>
      </c>
      <c r="C49" t="s">
        <v>13</v>
      </c>
      <c r="D49" t="s">
        <v>509</v>
      </c>
    </row>
    <row r="50" spans="1:4" x14ac:dyDescent="0.3">
      <c r="A50" t="s">
        <v>510</v>
      </c>
      <c r="B50">
        <f>B5</f>
        <v>87856.052035216751</v>
      </c>
      <c r="C50" t="str">
        <f>C5</f>
        <v>lbs</v>
      </c>
      <c r="D50" t="s">
        <v>511</v>
      </c>
    </row>
    <row r="51" spans="1:4" x14ac:dyDescent="0.3">
      <c r="A51" t="s">
        <v>512</v>
      </c>
      <c r="B51">
        <f>'🚫'!B98</f>
        <v>2.5</v>
      </c>
      <c r="C51" t="str">
        <f>'🚫'!C98</f>
        <v>g</v>
      </c>
      <c r="D51" t="s">
        <v>513</v>
      </c>
    </row>
    <row r="52" spans="1:4" x14ac:dyDescent="0.3">
      <c r="A52" t="s">
        <v>514</v>
      </c>
      <c r="B52">
        <f>'🚫'!B58</f>
        <v>60</v>
      </c>
      <c r="C52" t="s">
        <v>170</v>
      </c>
      <c r="D52" t="s">
        <v>515</v>
      </c>
    </row>
    <row r="53" spans="1:4" x14ac:dyDescent="0.3">
      <c r="A53" t="s">
        <v>516</v>
      </c>
      <c r="B53">
        <f>'🚫'!B59</f>
        <v>4</v>
      </c>
      <c r="C53" t="s">
        <v>13</v>
      </c>
      <c r="D53" t="s">
        <v>517</v>
      </c>
    </row>
    <row r="54" spans="1:4" x14ac:dyDescent="0.3">
      <c r="A54" t="s">
        <v>518</v>
      </c>
      <c r="B54">
        <f>'🚫'!B60</f>
        <v>8</v>
      </c>
      <c r="C54" t="s">
        <v>13</v>
      </c>
      <c r="D54" t="s">
        <v>519</v>
      </c>
    </row>
    <row r="55" spans="1:4" x14ac:dyDescent="0.3">
      <c r="A55" t="s">
        <v>520</v>
      </c>
      <c r="B55">
        <f>'🚫'!B71</f>
        <v>120</v>
      </c>
      <c r="C55" t="str">
        <f>'🚫'!C71</f>
        <v>kts</v>
      </c>
      <c r="D55" t="s">
        <v>521</v>
      </c>
    </row>
    <row r="57" spans="1:4" x14ac:dyDescent="0.3">
      <c r="A57" s="156" t="s">
        <v>189</v>
      </c>
      <c r="B57" s="156"/>
      <c r="C57" s="156"/>
    </row>
    <row r="58" spans="1:4" x14ac:dyDescent="0.3">
      <c r="A58" t="s">
        <v>522</v>
      </c>
      <c r="B58">
        <f>IF('🚫'!C65=TRUE,1.15,1)</f>
        <v>1</v>
      </c>
      <c r="D58" t="s">
        <v>509</v>
      </c>
    </row>
    <row r="59" spans="1:4" x14ac:dyDescent="0.3">
      <c r="A59" t="str">
        <f t="shared" ref="A59:C60" si="3">A50</f>
        <v>Wl</v>
      </c>
      <c r="B59">
        <f t="shared" si="3"/>
        <v>87856.052035216751</v>
      </c>
      <c r="C59" t="str">
        <f t="shared" si="3"/>
        <v>lbs</v>
      </c>
    </row>
    <row r="60" spans="1:4" x14ac:dyDescent="0.3">
      <c r="A60" t="str">
        <f t="shared" si="3"/>
        <v>Nl</v>
      </c>
      <c r="B60">
        <f t="shared" si="3"/>
        <v>2.5</v>
      </c>
      <c r="C60" t="str">
        <f t="shared" si="3"/>
        <v>g</v>
      </c>
    </row>
    <row r="61" spans="1:4" x14ac:dyDescent="0.3">
      <c r="A61" t="s">
        <v>523</v>
      </c>
      <c r="B61">
        <f>'🚫'!B63</f>
        <v>50</v>
      </c>
      <c r="C61" t="str">
        <f>'🚫'!C63</f>
        <v>in</v>
      </c>
      <c r="D61" t="s">
        <v>524</v>
      </c>
    </row>
    <row r="62" spans="1:4" x14ac:dyDescent="0.3">
      <c r="A62" t="s">
        <v>525</v>
      </c>
      <c r="B62">
        <f>'🚫'!B64</f>
        <v>2</v>
      </c>
      <c r="C62" t="str">
        <f>'🚫'!C64</f>
        <v>#</v>
      </c>
      <c r="D62" t="s">
        <v>526</v>
      </c>
    </row>
    <row r="64" spans="1:4" x14ac:dyDescent="0.3">
      <c r="A64" s="156" t="s">
        <v>190</v>
      </c>
      <c r="B64" s="156"/>
      <c r="C64" s="156"/>
    </row>
    <row r="65" spans="1:4" x14ac:dyDescent="0.3">
      <c r="A65" t="s">
        <v>527</v>
      </c>
      <c r="B65">
        <f>IF('🚫'!C112=TRUE,1.017,1)</f>
        <v>1</v>
      </c>
      <c r="C65" t="s">
        <v>13</v>
      </c>
      <c r="D65" t="s">
        <v>528</v>
      </c>
    </row>
    <row r="66" spans="1:4" x14ac:dyDescent="0.3">
      <c r="A66" t="s">
        <v>529</v>
      </c>
      <c r="B66">
        <f>'🚫'!B109</f>
        <v>8</v>
      </c>
      <c r="C66" t="s">
        <v>13</v>
      </c>
      <c r="D66" t="s">
        <v>530</v>
      </c>
    </row>
    <row r="67" spans="1:4" x14ac:dyDescent="0.3">
      <c r="A67" t="s">
        <v>531</v>
      </c>
      <c r="B67">
        <f>'🚫'!B110</f>
        <v>4</v>
      </c>
      <c r="C67" t="s">
        <v>13</v>
      </c>
      <c r="D67" t="s">
        <v>532</v>
      </c>
    </row>
    <row r="68" spans="1:4" x14ac:dyDescent="0.3">
      <c r="A68" t="str">
        <f>A6</f>
        <v>Nz</v>
      </c>
      <c r="B68">
        <f>B6</f>
        <v>3.75</v>
      </c>
      <c r="C68" t="str">
        <f>C6</f>
        <v>g</v>
      </c>
    </row>
    <row r="69" spans="1:4" x14ac:dyDescent="0.3">
      <c r="A69" t="s">
        <v>533</v>
      </c>
      <c r="B69">
        <f>IF('🚫'!C91=TRUE,1.4,1)</f>
        <v>1.4</v>
      </c>
      <c r="C69" t="s">
        <v>13</v>
      </c>
      <c r="D69" t="s">
        <v>534</v>
      </c>
    </row>
    <row r="70" spans="1:4" x14ac:dyDescent="0.3">
      <c r="A70" t="s">
        <v>535</v>
      </c>
      <c r="B70">
        <f>IF('🚫'!C90=TRUE,1.18,1)</f>
        <v>1</v>
      </c>
      <c r="D70" t="s">
        <v>536</v>
      </c>
    </row>
    <row r="71" spans="1:4" x14ac:dyDescent="0.3">
      <c r="A71" t="s">
        <v>537</v>
      </c>
      <c r="B71">
        <f>2.331*($B$81^0.901)*$B$69*$B$70</f>
        <v>810.15461505185795</v>
      </c>
      <c r="C71" t="s">
        <v>70</v>
      </c>
      <c r="D71" t="s">
        <v>538</v>
      </c>
    </row>
    <row r="72" spans="1:4" x14ac:dyDescent="0.3">
      <c r="A72" t="s">
        <v>539</v>
      </c>
      <c r="B72">
        <f>'🚫'!B85</f>
        <v>4</v>
      </c>
      <c r="C72" t="str">
        <f>'🚫'!C85</f>
        <v>#</v>
      </c>
    </row>
    <row r="73" spans="1:4" x14ac:dyDescent="0.3">
      <c r="A73" t="s">
        <v>540</v>
      </c>
      <c r="B73">
        <f>'🚫'!B111</f>
        <v>30</v>
      </c>
      <c r="D73" t="s">
        <v>541</v>
      </c>
    </row>
    <row r="75" spans="1:4" x14ac:dyDescent="0.3">
      <c r="A75" s="156" t="s">
        <v>195</v>
      </c>
      <c r="B75" s="156"/>
      <c r="C75" s="156"/>
    </row>
    <row r="76" spans="1:4" x14ac:dyDescent="0.3">
      <c r="A76" t="str">
        <f>A72</f>
        <v>Nen</v>
      </c>
      <c r="B76">
        <f>B72</f>
        <v>4</v>
      </c>
      <c r="C76" t="str">
        <f>C72</f>
        <v>#</v>
      </c>
    </row>
    <row r="77" spans="1:4" x14ac:dyDescent="0.3">
      <c r="A77" t="s">
        <v>542</v>
      </c>
      <c r="B77">
        <f>'🚫'!B100</f>
        <v>100</v>
      </c>
      <c r="C77" t="str">
        <f>'🚫'!C100</f>
        <v>ft</v>
      </c>
      <c r="D77" t="s">
        <v>543</v>
      </c>
    </row>
    <row r="79" spans="1:4" x14ac:dyDescent="0.3">
      <c r="A79" s="156" t="s">
        <v>544</v>
      </c>
      <c r="B79" s="156"/>
      <c r="C79" s="156"/>
    </row>
    <row r="80" spans="1:4" x14ac:dyDescent="0.3">
      <c r="A80" t="str">
        <f>A76</f>
        <v>Nen</v>
      </c>
      <c r="B80">
        <f>B76</f>
        <v>4</v>
      </c>
      <c r="C80" t="str">
        <f>C76</f>
        <v>#</v>
      </c>
    </row>
    <row r="81" spans="1:4" x14ac:dyDescent="0.3">
      <c r="A81" t="s">
        <v>545</v>
      </c>
      <c r="B81">
        <f>'🚫'!B84</f>
        <v>455.03410914958732</v>
      </c>
      <c r="C81" t="str">
        <f>'🚫'!C84</f>
        <v>lbs</v>
      </c>
      <c r="D81" t="s">
        <v>546</v>
      </c>
    </row>
    <row r="83" spans="1:4" x14ac:dyDescent="0.3">
      <c r="A83" s="156" t="s">
        <v>197</v>
      </c>
      <c r="B83" s="156"/>
      <c r="C83" s="156"/>
    </row>
    <row r="84" spans="1:4" x14ac:dyDescent="0.3">
      <c r="A84" t="s">
        <v>547</v>
      </c>
      <c r="B84">
        <v>7</v>
      </c>
      <c r="C84" t="s">
        <v>13</v>
      </c>
      <c r="D84" t="s">
        <v>548</v>
      </c>
    </row>
    <row r="85" spans="1:4" x14ac:dyDescent="0.3">
      <c r="A85" t="s">
        <v>549</v>
      </c>
      <c r="B85">
        <v>2</v>
      </c>
      <c r="C85" t="s">
        <v>13</v>
      </c>
      <c r="D85" t="s">
        <v>550</v>
      </c>
    </row>
    <row r="86" spans="1:4" x14ac:dyDescent="0.3">
      <c r="A86" t="s">
        <v>551</v>
      </c>
      <c r="B86">
        <f>'🚫'!B14</f>
        <v>500</v>
      </c>
      <c r="C86" t="str">
        <f>'🚫'!C14</f>
        <v>ft2</v>
      </c>
      <c r="D86" t="s">
        <v>552</v>
      </c>
    </row>
    <row r="87" spans="1:4" x14ac:dyDescent="0.3">
      <c r="A87" t="s">
        <v>553</v>
      </c>
      <c r="B87" s="31">
        <f>(((B98+B43)/2)^2)*((B5*(0.44^2))/(4*32.2))*32.174048556</f>
        <v>20848900.931223523</v>
      </c>
      <c r="C87" t="str">
        <f>'🚫'!C94</f>
        <v>lb-ft2</v>
      </c>
      <c r="D87" s="31" t="s">
        <v>554</v>
      </c>
    </row>
    <row r="89" spans="1:4" x14ac:dyDescent="0.3">
      <c r="A89" s="156" t="s">
        <v>209</v>
      </c>
      <c r="B89" s="156"/>
      <c r="C89" s="156"/>
    </row>
    <row r="90" spans="1:4" x14ac:dyDescent="0.3">
      <c r="A90" t="s">
        <v>555</v>
      </c>
      <c r="B90">
        <f>'🚫'!B52</f>
        <v>150</v>
      </c>
      <c r="C90" t="str">
        <f>'🚫'!C52</f>
        <v>lbs</v>
      </c>
      <c r="D90" t="s">
        <v>556</v>
      </c>
    </row>
    <row r="92" spans="1:4" x14ac:dyDescent="0.3">
      <c r="A92" s="156" t="s">
        <v>557</v>
      </c>
      <c r="B92" s="156"/>
      <c r="C92" s="156"/>
    </row>
    <row r="93" spans="1:4" x14ac:dyDescent="0.3">
      <c r="A93" t="s">
        <v>558</v>
      </c>
      <c r="B93">
        <f>IF('🚫'!C89=TRUE,1.133,1)</f>
        <v>1</v>
      </c>
      <c r="C93" t="s">
        <v>13</v>
      </c>
      <c r="D93" t="s">
        <v>559</v>
      </c>
    </row>
    <row r="94" spans="1:4" x14ac:dyDescent="0.3">
      <c r="A94" t="s">
        <v>560</v>
      </c>
      <c r="B94">
        <f>IF('🚫'!C91=TRUE,0.793,1)</f>
        <v>0.79300000000000004</v>
      </c>
      <c r="C94" t="s">
        <v>13</v>
      </c>
      <c r="D94" t="s">
        <v>561</v>
      </c>
    </row>
    <row r="95" spans="1:4" x14ac:dyDescent="0.3">
      <c r="A95" t="s">
        <v>562</v>
      </c>
      <c r="B95">
        <f>'🚫'!B46</f>
        <v>2</v>
      </c>
      <c r="C95" t="str">
        <f>'🚫'!C46</f>
        <v>#</v>
      </c>
      <c r="D95" t="s">
        <v>402</v>
      </c>
    </row>
    <row r="96" spans="1:4" x14ac:dyDescent="0.3">
      <c r="A96" t="str">
        <f>A76</f>
        <v>Nen</v>
      </c>
      <c r="B96">
        <f>B76</f>
        <v>4</v>
      </c>
      <c r="C96" t="str">
        <f>C76</f>
        <v>#</v>
      </c>
    </row>
    <row r="97" spans="1:4" x14ac:dyDescent="0.3">
      <c r="A97" t="s">
        <v>563</v>
      </c>
      <c r="B97">
        <f>'🚫'!B104</f>
        <v>78.62</v>
      </c>
      <c r="C97" t="str">
        <f>'🚫'!C104</f>
        <v>ft</v>
      </c>
      <c r="D97" t="s">
        <v>449</v>
      </c>
    </row>
    <row r="98" spans="1:4" x14ac:dyDescent="0.3">
      <c r="A98" t="s">
        <v>564</v>
      </c>
      <c r="B98">
        <f>'🚫'!B18</f>
        <v>75.099999999999994</v>
      </c>
      <c r="C98" t="str">
        <f>'🚫'!C18</f>
        <v>ft</v>
      </c>
      <c r="D98" t="s">
        <v>565</v>
      </c>
    </row>
    <row r="100" spans="1:4" x14ac:dyDescent="0.3">
      <c r="A100" s="156" t="s">
        <v>214</v>
      </c>
      <c r="B100" s="156"/>
      <c r="C100" s="156"/>
    </row>
    <row r="101" spans="1:4" x14ac:dyDescent="0.3">
      <c r="A101" t="str">
        <f>A84</f>
        <v>Nf</v>
      </c>
      <c r="B101">
        <f>B84</f>
        <v>7</v>
      </c>
      <c r="C101" t="str">
        <f>C84</f>
        <v>#</v>
      </c>
    </row>
    <row r="102" spans="1:4" x14ac:dyDescent="0.3">
      <c r="A102" t="str">
        <f t="shared" ref="A102:C103" si="4">A97</f>
        <v>Lf</v>
      </c>
      <c r="B102">
        <f t="shared" si="4"/>
        <v>78.62</v>
      </c>
      <c r="C102" t="str">
        <f t="shared" si="4"/>
        <v>ft</v>
      </c>
    </row>
    <row r="103" spans="1:4" x14ac:dyDescent="0.3">
      <c r="A103" t="str">
        <f t="shared" si="4"/>
        <v>Bw</v>
      </c>
      <c r="B103">
        <f t="shared" si="4"/>
        <v>75.099999999999994</v>
      </c>
      <c r="C103" t="str">
        <f t="shared" si="4"/>
        <v>ft</v>
      </c>
    </row>
    <row r="105" spans="1:4" x14ac:dyDescent="0.3">
      <c r="A105" s="156" t="s">
        <v>220</v>
      </c>
      <c r="B105" s="156"/>
      <c r="C105" s="156"/>
    </row>
    <row r="106" spans="1:4" x14ac:dyDescent="0.3">
      <c r="A106" t="s">
        <v>566</v>
      </c>
      <c r="B106">
        <v>60</v>
      </c>
      <c r="C106" t="s">
        <v>224</v>
      </c>
      <c r="D106" t="s">
        <v>567</v>
      </c>
    </row>
    <row r="107" spans="1:4" x14ac:dyDescent="0.3">
      <c r="A107" t="s">
        <v>568</v>
      </c>
      <c r="B107">
        <f>'🚫'!B48</f>
        <v>30</v>
      </c>
      <c r="C107" t="str">
        <f>'🚫'!C48</f>
        <v>ft</v>
      </c>
      <c r="D107" t="s">
        <v>569</v>
      </c>
    </row>
    <row r="108" spans="1:4" x14ac:dyDescent="0.3">
      <c r="A108" t="s">
        <v>570</v>
      </c>
      <c r="B108">
        <f>B80</f>
        <v>4</v>
      </c>
      <c r="C108" t="str">
        <f>C80</f>
        <v>#</v>
      </c>
      <c r="D108" t="s">
        <v>571</v>
      </c>
    </row>
    <row r="110" spans="1:4" x14ac:dyDescent="0.3">
      <c r="A110" s="156" t="s">
        <v>95</v>
      </c>
      <c r="B110" s="156"/>
      <c r="C110" s="156"/>
    </row>
    <row r="111" spans="1:4" x14ac:dyDescent="0.3">
      <c r="A111" t="s">
        <v>572</v>
      </c>
      <c r="B111">
        <f>'🚫'!B50</f>
        <v>300</v>
      </c>
      <c r="C111" t="str">
        <f>'🚫'!C50</f>
        <v>lbs</v>
      </c>
      <c r="D111" t="s">
        <v>573</v>
      </c>
    </row>
    <row r="113" spans="1:4" x14ac:dyDescent="0.3">
      <c r="A113" s="156" t="s">
        <v>240</v>
      </c>
      <c r="B113" s="156"/>
      <c r="C113" s="156"/>
    </row>
    <row r="114" spans="1:4" x14ac:dyDescent="0.3">
      <c r="A114" t="str">
        <f>A95</f>
        <v>Nc</v>
      </c>
      <c r="B114">
        <f>B95</f>
        <v>2</v>
      </c>
      <c r="C114" t="str">
        <f>C95</f>
        <v>#</v>
      </c>
    </row>
    <row r="115" spans="1:4" x14ac:dyDescent="0.3">
      <c r="A115" t="s">
        <v>574</v>
      </c>
      <c r="B115">
        <f>Sizing!D50</f>
        <v>2200</v>
      </c>
      <c r="C115" t="s">
        <v>70</v>
      </c>
      <c r="D115" t="s">
        <v>575</v>
      </c>
    </row>
    <row r="116" spans="1:4" x14ac:dyDescent="0.3">
      <c r="A116" t="str">
        <f>A44</f>
        <v>Sf</v>
      </c>
      <c r="B116">
        <f>B44</f>
        <v>200</v>
      </c>
      <c r="C116" t="str">
        <f>C44</f>
        <v>ft2</v>
      </c>
    </row>
    <row r="118" spans="1:4" x14ac:dyDescent="0.3">
      <c r="A118" s="156" t="s">
        <v>206</v>
      </c>
      <c r="B118" s="156"/>
      <c r="C118" s="156"/>
    </row>
    <row r="119" spans="1:4" x14ac:dyDescent="0.3">
      <c r="A119" t="s">
        <v>576</v>
      </c>
      <c r="B119">
        <f>'🚫'!B117</f>
        <v>40</v>
      </c>
      <c r="C119" t="str">
        <f>'🚫'!C117</f>
        <v>#</v>
      </c>
      <c r="D119" t="s">
        <v>577</v>
      </c>
    </row>
    <row r="120" spans="1:4" x14ac:dyDescent="0.3">
      <c r="A120" t="s">
        <v>578</v>
      </c>
      <c r="B120">
        <f>'🚫'!B56</f>
        <v>8628</v>
      </c>
      <c r="C120" t="str">
        <f>'🚫'!C56</f>
        <v>ft3</v>
      </c>
      <c r="D120" t="s">
        <v>411</v>
      </c>
    </row>
    <row r="121" spans="1:4" x14ac:dyDescent="0.3">
      <c r="A121" t="s">
        <v>572</v>
      </c>
      <c r="B121">
        <f>B111</f>
        <v>300</v>
      </c>
      <c r="C121" t="str">
        <f>C111</f>
        <v>lbs</v>
      </c>
      <c r="D121" t="s">
        <v>579</v>
      </c>
    </row>
    <row r="123" spans="1:4" x14ac:dyDescent="0.3">
      <c r="A123" s="156" t="s">
        <v>221</v>
      </c>
      <c r="B123" s="156"/>
      <c r="C123" s="156"/>
    </row>
    <row r="124" spans="1:4" x14ac:dyDescent="0.3">
      <c r="A124" t="str">
        <f>A5</f>
        <v>Wdg</v>
      </c>
      <c r="B124">
        <f>B5</f>
        <v>87856.052035216751</v>
      </c>
      <c r="C124" t="str">
        <f>C5</f>
        <v>lbs</v>
      </c>
    </row>
    <row r="126" spans="1:4" x14ac:dyDescent="0.3">
      <c r="A126" s="156" t="s">
        <v>486</v>
      </c>
      <c r="B126" s="156"/>
      <c r="C126" s="156"/>
    </row>
    <row r="127" spans="1:4" x14ac:dyDescent="0.3">
      <c r="A127" t="str">
        <f>A124</f>
        <v>Wdg</v>
      </c>
      <c r="B127">
        <f>B124</f>
        <v>87856.052035216751</v>
      </c>
      <c r="C127" t="str">
        <f>C124</f>
        <v>lbs</v>
      </c>
    </row>
  </sheetData>
  <mergeCells count="23">
    <mergeCell ref="A1:C3"/>
    <mergeCell ref="K5:K23"/>
    <mergeCell ref="M5:M23"/>
    <mergeCell ref="I4:M4"/>
    <mergeCell ref="A27:C27"/>
    <mergeCell ref="A14:C14"/>
    <mergeCell ref="A4:C4"/>
    <mergeCell ref="A38:C38"/>
    <mergeCell ref="A48:C48"/>
    <mergeCell ref="A57:C57"/>
    <mergeCell ref="A64:C64"/>
    <mergeCell ref="A75:C75"/>
    <mergeCell ref="A83:C83"/>
    <mergeCell ref="A79:C79"/>
    <mergeCell ref="A89:C89"/>
    <mergeCell ref="A92:C92"/>
    <mergeCell ref="A100:C100"/>
    <mergeCell ref="A126:C126"/>
    <mergeCell ref="A105:C105"/>
    <mergeCell ref="A110:C110"/>
    <mergeCell ref="A113:C113"/>
    <mergeCell ref="A118:C118"/>
    <mergeCell ref="A123:C1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Sizing</vt:lpstr>
      <vt:lpstr>Weights</vt:lpstr>
      <vt:lpstr>Drag</vt:lpstr>
      <vt:lpstr>🚫</vt:lpstr>
      <vt:lpstr>⛔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Darian Patrick Elijah Soetanto</dc:creator>
  <cp:keywords/>
  <dc:description/>
  <cp:lastModifiedBy>Darian Patrick</cp:lastModifiedBy>
  <cp:revision/>
  <dcterms:created xsi:type="dcterms:W3CDTF">2024-03-12T07:56:23Z</dcterms:created>
  <dcterms:modified xsi:type="dcterms:W3CDTF">2025-01-30T14:56:15Z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2024-03-12T11:36:19Z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2909daf5-ede2-4de2-af05-75a313bb8fe3</vt:lpwstr>
  </property>
  <property fmtid="{D5CDD505-2E9C-101B-9397-08002B2CF9AE}" pid="8" name="MSIP_Label_38b525e5-f3da-4501-8f1e-526b6769fc56_ContentBits">
    <vt:lpwstr>0</vt:lpwstr>
  </property>
</Properties>
</file>